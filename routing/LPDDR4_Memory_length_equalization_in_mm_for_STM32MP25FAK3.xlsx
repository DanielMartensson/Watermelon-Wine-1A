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jpeg" ContentType="image/jpe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 sheetId="1" state="visible" r:id="rId3"/>
    <sheet name="LPDDR4" sheetId="2" state="visible" r:id="rId4"/>
    <sheet name="Classified as UnClassified" sheetId="3" state="hidden" r:id="rId5"/>
    <sheet name="xl_DCF_History" sheetId="4" state="hidden" r:id="rId6"/>
  </sheets>
  <definedNames>
    <definedName function="false" hidden="false" name="CLOCK_A_LENGHTS" vbProcedure="false">LPDDR4!$G$7:$G$8</definedName>
    <definedName function="false" hidden="false" name="CLOCK_B_LENGHTS" vbProcedure="false">LPDDR4!$G$19:$G$20</definedName>
    <definedName function="false" hidden="false" name="DQS0_A_LENGTHS" vbProcedure="false">LPDDR4!$G$48:$G$49</definedName>
    <definedName function="false" hidden="false" name="DQS0_B_LENGTHS" vbProcedure="false">LPDDR4!$G$70:$G$71</definedName>
    <definedName function="false" hidden="false" name="DQS1_A_LENGTHS" vbProcedure="false">LPDDR4!$G$59:$G$60</definedName>
    <definedName function="false" hidden="false" name="DQS1_B_LENGTHS" vbProcedure="false">LPDDR4!$G$81:$G$82</definedName>
    <definedName function="false" hidden="false" name="NET_NAME" vbProcedure="false">LPDDR4!$C:$C</definedName>
    <definedName function="false" hidden="false" name="PACKAGE_LENGTH" vbProcedure="false">LPDDR4!$D:$D</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<sst xmlns="http://schemas.openxmlformats.org/spreadsheetml/2006/main" count="223" uniqueCount="203">
  <si>
    <t xml:space="preserve">LPDDR4_memory_length_equalization_in_mm_for_STM32MP25xxAK</t>
  </si>
  <si>
    <t xml:space="preserve">Board reference:</t>
  </si>
  <si>
    <t xml:space="preserve">Variant:</t>
  </si>
  <si>
    <t xml:space="preserve">PCB revision:</t>
  </si>
  <si>
    <t xml:space="preserve">Assembly revision:</t>
  </si>
  <si>
    <t xml:space="preserve">Date:</t>
  </si>
  <si>
    <t xml:space="preserve">Note: This document is an help to cross-check most wire lenght constrains, but cannot detect all DDR implementation issues.
Please also refer to latest AN5723 and AN5724 as well as product Reference Manual and Datasheet when implementing DDR device.</t>
  </si>
  <si>
    <t xml:space="preserve">STM32MP25xxAK (14x14)</t>
  </si>
  <si>
    <t xml:space="preserve">BALL NAME</t>
  </si>
  <si>
    <t xml:space="preserve">NET NAME</t>
  </si>
  <si>
    <t xml:space="preserve">STM32MP25xxAK LENGTH (mm)</t>
  </si>
  <si>
    <t xml:space="preserve">STM32MP25xxAK to memory (mm)</t>
  </si>
  <si>
    <t xml:space="preserve">TOTAL LENGTH (mm)</t>
  </si>
  <si>
    <t xml:space="preserve">DELTA WITH ((CLK_P+CLK_N)/2):
   MAX +/- 3.55 mm</t>
  </si>
  <si>
    <t xml:space="preserve">DELTA WITH ((CLK_A_P+CLK_A_N)/2):
   MAX +/- 14.5 mm</t>
  </si>
  <si>
    <t xml:space="preserve">Fill the column F with the track lengths of printed circuit board including via.
Modify  the track length of column F in order to be within the limits of column H and I.</t>
  </si>
  <si>
    <t xml:space="preserve">Address/Command</t>
  </si>
  <si>
    <t xml:space="preserve">A0</t>
  </si>
  <si>
    <t xml:space="preserve">DDR_CKE0_A</t>
  </si>
  <si>
    <t xml:space="preserve">value</t>
  </si>
  <si>
    <t xml:space="preserve">within the limits</t>
  </si>
  <si>
    <t xml:space="preserve">A1</t>
  </si>
  <si>
    <t xml:space="preserve">DDR_CKE1_A</t>
  </si>
  <si>
    <t xml:space="preserve">outside the limits</t>
  </si>
  <si>
    <t xml:space="preserve">A2</t>
  </si>
  <si>
    <t xml:space="preserve">DDR_CA0_A</t>
  </si>
  <si>
    <t xml:space="preserve">A3</t>
  </si>
  <si>
    <t xml:space="preserve">DDR_CA1_A</t>
  </si>
  <si>
    <t xml:space="preserve">Color in column G shows shortest (green) and longest (red) lenghts in  the group.</t>
  </si>
  <si>
    <t xml:space="preserve">A4</t>
  </si>
  <si>
    <t xml:space="preserve">DDR_CLK_A_P</t>
  </si>
  <si>
    <t xml:space="preserve">A5</t>
  </si>
  <si>
    <t xml:space="preserve">DDR_CLK_A_N</t>
  </si>
  <si>
    <t xml:space="preserve">A6</t>
  </si>
  <si>
    <t xml:space="preserve">DDR_CS0_A</t>
  </si>
  <si>
    <t xml:space="preserve">A7</t>
  </si>
  <si>
    <t xml:space="preserve">DDR_CS1_A</t>
  </si>
  <si>
    <t xml:space="preserve">NA  = Not Applicable</t>
  </si>
  <si>
    <t xml:space="preserve">A8</t>
  </si>
  <si>
    <t xml:space="preserve">DDR_CA2_A</t>
  </si>
  <si>
    <t xml:space="preserve">A9</t>
  </si>
  <si>
    <t xml:space="preserve">DDR_CA3_A</t>
  </si>
  <si>
    <t xml:space="preserve">Modifiable cell</t>
  </si>
  <si>
    <t xml:space="preserve">A10</t>
  </si>
  <si>
    <t xml:space="preserve">DDR_CA4_A</t>
  </si>
  <si>
    <t xml:space="preserve">A11</t>
  </si>
  <si>
    <t xml:space="preserve">DDR_CA5_A</t>
  </si>
  <si>
    <t xml:space="preserve">A12</t>
  </si>
  <si>
    <t xml:space="preserve">DDR_CKE0_B</t>
  </si>
  <si>
    <t xml:space="preserve">A13</t>
  </si>
  <si>
    <t xml:space="preserve">DDR_CKE1_B</t>
  </si>
  <si>
    <t xml:space="preserve">A14</t>
  </si>
  <si>
    <t xml:space="preserve">DDR_CA0_B</t>
  </si>
  <si>
    <t xml:space="preserve">A15</t>
  </si>
  <si>
    <t xml:space="preserve">DDR_CA1_B</t>
  </si>
  <si>
    <t xml:space="preserve">A16</t>
  </si>
  <si>
    <t xml:space="preserve">DDR_CLK_B_P</t>
  </si>
  <si>
    <t xml:space="preserve">A17</t>
  </si>
  <si>
    <t xml:space="preserve">DDR_CLK_B_N</t>
  </si>
  <si>
    <t xml:space="preserve">A18</t>
  </si>
  <si>
    <t xml:space="preserve">DDR_CS0_B</t>
  </si>
  <si>
    <t xml:space="preserve">A19</t>
  </si>
  <si>
    <t xml:space="preserve">DDR_CS1_B</t>
  </si>
  <si>
    <t xml:space="preserve">A20</t>
  </si>
  <si>
    <t xml:space="preserve">DDR_CA2_B</t>
  </si>
  <si>
    <t xml:space="preserve">A21</t>
  </si>
  <si>
    <t xml:space="preserve">DDR_CA3_B</t>
  </si>
  <si>
    <t xml:space="preserve">A22</t>
  </si>
  <si>
    <t xml:space="preserve">DDR_CA4_B</t>
  </si>
  <si>
    <t xml:space="preserve">A23</t>
  </si>
  <si>
    <t xml:space="preserve">DDR_CA5_B</t>
  </si>
  <si>
    <t xml:space="preserve">A25</t>
  </si>
  <si>
    <t xml:space="preserve">NA</t>
  </si>
  <si>
    <t xml:space="preserve">A26</t>
  </si>
  <si>
    <t xml:space="preserve">A27</t>
  </si>
  <si>
    <t xml:space="preserve">A28</t>
  </si>
  <si>
    <t xml:space="preserve">A29</t>
  </si>
  <si>
    <t xml:space="preserve">A30</t>
  </si>
  <si>
    <t xml:space="preserve">A31</t>
  </si>
  <si>
    <t xml:space="preserve">DELTA WITH ((DQSn_P+DQSn_N)/2)
MAX: +/- 1.42 mm</t>
  </si>
  <si>
    <t xml:space="preserve">DELTA WITH ((CLK_P+CLK_N)/2):
MAX: +/- 12.07 mm</t>
  </si>
  <si>
    <t xml:space="preserve">Byte 0</t>
  </si>
  <si>
    <t xml:space="preserve">DDR_DQ0</t>
  </si>
  <si>
    <t xml:space="preserve">DDR_DQ0_A</t>
  </si>
  <si>
    <t xml:space="preserve">DDR_DQ1</t>
  </si>
  <si>
    <t xml:space="preserve">DDR_DQ1_A</t>
  </si>
  <si>
    <t xml:space="preserve">DDR_DQ2</t>
  </si>
  <si>
    <t xml:space="preserve">DDR_DQ2_A</t>
  </si>
  <si>
    <t xml:space="preserve">DDR_DQ3</t>
  </si>
  <si>
    <t xml:space="preserve">DDR_DQ3_A</t>
  </si>
  <si>
    <t xml:space="preserve">DDR_DQ4</t>
  </si>
  <si>
    <t xml:space="preserve">DDR_DQ4_A</t>
  </si>
  <si>
    <t xml:space="preserve">DDR_DQ5</t>
  </si>
  <si>
    <t xml:space="preserve">DDR_DQ5_A</t>
  </si>
  <si>
    <t xml:space="preserve">DDR_DQ6</t>
  </si>
  <si>
    <t xml:space="preserve">DDR_DQ6_A</t>
  </si>
  <si>
    <t xml:space="preserve">DDR_DQ7</t>
  </si>
  <si>
    <t xml:space="preserve">DDR_DQ7_A</t>
  </si>
  <si>
    <t xml:space="preserve">DDR_DQM0</t>
  </si>
  <si>
    <t xml:space="preserve">DDR_DQMI0_A</t>
  </si>
  <si>
    <t xml:space="preserve">DDR_DQS0N</t>
  </si>
  <si>
    <t xml:space="preserve">DDR_DQS0_A_N</t>
  </si>
  <si>
    <t xml:space="preserve">DDR_DQS0P</t>
  </si>
  <si>
    <t xml:space="preserve">DDR_DQS0_A_P</t>
  </si>
  <si>
    <t xml:space="preserve">Byte 1</t>
  </si>
  <si>
    <t xml:space="preserve">DDR_DQ8</t>
  </si>
  <si>
    <t xml:space="preserve">DDR_DQ8_A</t>
  </si>
  <si>
    <t xml:space="preserve">DDR_DQ9</t>
  </si>
  <si>
    <t xml:space="preserve">DDR_DQ9_A</t>
  </si>
  <si>
    <t xml:space="preserve">DDR_DQ10</t>
  </si>
  <si>
    <t xml:space="preserve">DDR_DQ10_A</t>
  </si>
  <si>
    <t xml:space="preserve">DDR_DQ11</t>
  </si>
  <si>
    <t xml:space="preserve">DDR_DQ11_A</t>
  </si>
  <si>
    <t xml:space="preserve">DDR_DQ12</t>
  </si>
  <si>
    <t xml:space="preserve">DDR_DQ12_A</t>
  </si>
  <si>
    <t xml:space="preserve">DDR_DQ13</t>
  </si>
  <si>
    <t xml:space="preserve">DDR_DQ13_A</t>
  </si>
  <si>
    <t xml:space="preserve">DDR_DQ14</t>
  </si>
  <si>
    <t xml:space="preserve">DDR_DQ14_A</t>
  </si>
  <si>
    <t xml:space="preserve">DDR_DQ15</t>
  </si>
  <si>
    <t xml:space="preserve">DDR_DQ15_A</t>
  </si>
  <si>
    <t xml:space="preserve">DDR_DQM1</t>
  </si>
  <si>
    <t xml:space="preserve">DDR_DQMI1_A</t>
  </si>
  <si>
    <t xml:space="preserve">DDR_DQS1N</t>
  </si>
  <si>
    <t xml:space="preserve">DDR_DQS1_A_N</t>
  </si>
  <si>
    <t xml:space="preserve">DDR_DQS1P</t>
  </si>
  <si>
    <t xml:space="preserve">DDR_DQS1_A_P</t>
  </si>
  <si>
    <t xml:space="preserve">Byte 2</t>
  </si>
  <si>
    <t xml:space="preserve">DDR_DQ16</t>
  </si>
  <si>
    <t xml:space="preserve">DDR_DQ0_B</t>
  </si>
  <si>
    <t xml:space="preserve">DDR_DQ17</t>
  </si>
  <si>
    <t xml:space="preserve">DDR_DQ1_B</t>
  </si>
  <si>
    <t xml:space="preserve">DDR_DQ18</t>
  </si>
  <si>
    <t xml:space="preserve">DDR_DQ2_B</t>
  </si>
  <si>
    <t xml:space="preserve">DDR_DQ19</t>
  </si>
  <si>
    <t xml:space="preserve">DDR_DQ3_B</t>
  </si>
  <si>
    <t xml:space="preserve">DDR_DQ20</t>
  </si>
  <si>
    <t xml:space="preserve">DDR_DQ4_B</t>
  </si>
  <si>
    <t xml:space="preserve">DDR_DQ21</t>
  </si>
  <si>
    <t xml:space="preserve">DDR_DQ5_B</t>
  </si>
  <si>
    <t xml:space="preserve">DDR_DQ22</t>
  </si>
  <si>
    <t xml:space="preserve">DDR_DQ6_B</t>
  </si>
  <si>
    <t xml:space="preserve">DDR_DQ23</t>
  </si>
  <si>
    <t xml:space="preserve">DDR_DQ7_B</t>
  </si>
  <si>
    <t xml:space="preserve">DDR_DQM2</t>
  </si>
  <si>
    <t xml:space="preserve">DDR_DQMI0_B</t>
  </si>
  <si>
    <t xml:space="preserve">DDR_DQS2N</t>
  </si>
  <si>
    <t xml:space="preserve">DDR_DQS0_B_N</t>
  </si>
  <si>
    <t xml:space="preserve">DDR_DQS2P</t>
  </si>
  <si>
    <t xml:space="preserve">DDR_DQS0_B_P</t>
  </si>
  <si>
    <t xml:space="preserve">Byte 3</t>
  </si>
  <si>
    <t xml:space="preserve">DDR_DQ24</t>
  </si>
  <si>
    <t xml:space="preserve">DDR_DQ8_B</t>
  </si>
  <si>
    <t xml:space="preserve">DDR_DQ25</t>
  </si>
  <si>
    <t xml:space="preserve">DDR_DQ9_B</t>
  </si>
  <si>
    <t xml:space="preserve">DDR_DQ26</t>
  </si>
  <si>
    <t xml:space="preserve">DDR_DQ10_B</t>
  </si>
  <si>
    <t xml:space="preserve">DDR_DQ27</t>
  </si>
  <si>
    <t xml:space="preserve">DDR_DQ11_B</t>
  </si>
  <si>
    <t xml:space="preserve">DDR_DQ28</t>
  </si>
  <si>
    <t xml:space="preserve">DDR_DQ12_B</t>
  </si>
  <si>
    <t xml:space="preserve">DDR_DQ29</t>
  </si>
  <si>
    <t xml:space="preserve">DDR_DQ13_B</t>
  </si>
  <si>
    <t xml:space="preserve">DDR_DQ30</t>
  </si>
  <si>
    <t xml:space="preserve">DDR_DQ14_B</t>
  </si>
  <si>
    <t xml:space="preserve">DDR_DQ31</t>
  </si>
  <si>
    <t xml:space="preserve">DDR_DQ15_B</t>
  </si>
  <si>
    <t xml:space="preserve">DDR_DQM3</t>
  </si>
  <si>
    <t xml:space="preserve">DDR_DQMI1_B</t>
  </si>
  <si>
    <t xml:space="preserve">DDR_DQS3N</t>
  </si>
  <si>
    <t xml:space="preserve">DDR_DQS1_B_N</t>
  </si>
  <si>
    <t xml:space="preserve">DDR_DQS3P</t>
  </si>
  <si>
    <t xml:space="preserve">DDR_DQS1_B_P</t>
  </si>
  <si>
    <t xml:space="preserve">CLINAME</t>
  </si>
  <si>
    <t xml:space="preserve">DATETIME</t>
  </si>
  <si>
    <t xml:space="preserve">DONEBY</t>
  </si>
  <si>
    <t xml:space="preserve">IPADDRESS</t>
  </si>
  <si>
    <t xml:space="preserve">APPVER</t>
  </si>
  <si>
    <t xml:space="preserve">RANDOM</t>
  </si>
  <si>
    <t xml:space="preserve">CHECKSUM</t>
  </si>
  <si>
    <t xml:space="preserve">ᑤᑥᐱᑣᑶᒄᒅᒃᑺᑴᒅᑶᑵ</t>
  </si>
  <si>
    <t xml:space="preserve">ᑃᑀᑂᑅᑀᑃᑁᑂᑉᐱᐱᑂᑃᑋᑁᑂᑒᑞᐱᐹᑘᑞᑥᐼᑂᑋᑁᐺ</t>
  </si>
  <si>
    <t xml:space="preserve">ᑤᑥᑭᑝᑾᑶᑁᑁᑂᑃᑊ</t>
  </si>
  <si>
    <t xml:space="preserve">ᑝᑞᑖᑔᑨᑝᑁᑉᑉᑄ</t>
  </si>
  <si>
    <t xml:space="preserve">ᑇᐿᑁᐿᑁᐿᑁ</t>
  </si>
  <si>
    <t xml:space="preserve">ᑅᑂᑆᑊ</t>
  </si>
  <si>
    <t xml:space="preserve">ᅡᅢᄮᅑᅽᅼᅴᅷᅲᅳᅼᆂᅷᅯᅺ</t>
  </si>
  <si>
    <t xml:space="preserve">ᅁᄽᅀᅁᄽᅀᄾᄿᅆᄮᄮᄿᅃᅈᅃᅄᅞᅛᄮᄶᅕᅛᅢᄹᄿᅈᄾᄷ</t>
  </si>
  <si>
    <t xml:space="preserve">ᅡᅢᅪᅚᅻᅳᄾᄾᄿᅀᅇ</t>
  </si>
  <si>
    <t xml:space="preserve">ᅚᅛᅓᅑᅥᅚᄾᅆᅆᅁ</t>
  </si>
  <si>
    <t xml:space="preserve">ᅄᄼᄾᄼᄾᄼᄾ</t>
  </si>
  <si>
    <t xml:space="preserve">ᅂᅁᅅᄿ</t>
  </si>
  <si>
    <t xml:space="preserve">࡚ࡳࡈࡱࡦࡸࡸ࡮࡫࡮ࡪࡩ</t>
  </si>
  <si>
    <t xml:space="preserve">࠷࠴࠺࠴࠷࠵࠶࠾ࠥࠥ࠶࠽࠿࠶࠼ࡕࡒࠥ࠭ࡌࡒ࡙࠰࠶࠿࠵࠮</t>
  </si>
  <si>
    <t xml:space="preserve">ࡘ࡙ࡡࡑࡲࡪ࠵࠵࠶࠷࠾</t>
  </si>
  <si>
    <t xml:space="preserve">ࡑࡒࡊࡈ࡜ࡑ࠵࠽࠽࠸</t>
  </si>
  <si>
    <t xml:space="preserve">࠻࠳࠵࠳࠵࠳࠵</t>
  </si>
  <si>
    <t xml:space="preserve">࠹࠶࠵࠷</t>
  </si>
  <si>
    <t xml:space="preserve">࠷࠴࠷࠼࠴࠷࠵࠷࠸ࠥࠥ࠶࠼࠿࠵࠻ࠥ࠭ࡌࡒ࡙࠰࠶࠿࠵࠮</t>
  </si>
  <si>
    <t xml:space="preserve">ࡠ࡚ࡳࡈࡱࡦࡸࡸ࡮࡫࡮ࡪࡩࡢࠥࡃࠥࡆࡎࡕࠥ࡭ࡦࡳࡩࡴࡻࡪࡷ</t>
  </si>
  <si>
    <t xml:space="preserve">ࡑࡒࡊࡈ࡜ࡑ࠶࠷࠻࠼</t>
  </si>
  <si>
    <t xml:space="preserve">࠽࠳࠹࠳࠵࠳࠵</t>
  </si>
  <si>
    <t xml:space="preserve">࠺࠽࠶࠹</t>
  </si>
</sst>
</file>

<file path=xl/styles.xml><?xml version="1.0" encoding="utf-8"?>
<styleSheet xmlns="http://schemas.openxmlformats.org/spreadsheetml/2006/main">
  <numFmts count="2">
    <numFmt numFmtId="164" formatCode="General"/>
    <numFmt numFmtId="165" formatCode="dd/mm/yyyy"/>
  </numFmts>
  <fonts count="16">
    <font>
      <sz val="11"/>
      <color theme="1"/>
      <name val="Calibri"/>
      <family val="2"/>
      <charset val="1"/>
    </font>
    <font>
      <sz val="10"/>
      <name val="Arial"/>
      <family val="0"/>
    </font>
    <font>
      <sz val="10"/>
      <name val="Arial"/>
      <family val="0"/>
    </font>
    <font>
      <sz val="10"/>
      <name val="Arial"/>
      <family val="0"/>
    </font>
    <font>
      <sz val="12"/>
      <color theme="1"/>
      <name val="Arial"/>
      <family val="2"/>
      <charset val="1"/>
    </font>
    <font>
      <sz val="11"/>
      <color theme="1"/>
      <name val="Arial"/>
      <family val="2"/>
      <charset val="1"/>
    </font>
    <font>
      <b val="true"/>
      <sz val="28"/>
      <color theme="1"/>
      <name val="Arial"/>
      <family val="2"/>
      <charset val="1"/>
    </font>
    <font>
      <b val="true"/>
      <sz val="12"/>
      <color theme="1"/>
      <name val="Arial"/>
      <family val="2"/>
      <charset val="1"/>
    </font>
    <font>
      <b val="true"/>
      <sz val="14"/>
      <color theme="1"/>
      <name val="Arial"/>
      <family val="2"/>
      <charset val="1"/>
    </font>
    <font>
      <b val="true"/>
      <sz val="11"/>
      <color theme="1"/>
      <name val="Arial"/>
      <family val="2"/>
      <charset val="1"/>
    </font>
    <font>
      <b val="true"/>
      <sz val="16"/>
      <color theme="1"/>
      <name val="Arial"/>
      <family val="2"/>
      <charset val="1"/>
    </font>
    <font>
      <b val="true"/>
      <sz val="14"/>
      <name val="Arial"/>
      <family val="2"/>
      <charset val="1"/>
    </font>
    <font>
      <b val="true"/>
      <sz val="11"/>
      <name val="Arial"/>
      <family val="2"/>
      <charset val="1"/>
    </font>
    <font>
      <b val="true"/>
      <sz val="11"/>
      <color rgb="FF00B050"/>
      <name val="Arial"/>
      <family val="2"/>
      <charset val="1"/>
    </font>
    <font>
      <b val="true"/>
      <sz val="11"/>
      <color rgb="FFFF0000"/>
      <name val="Arial"/>
      <family val="2"/>
      <charset val="1"/>
    </font>
    <font>
      <sz val="11"/>
      <color theme="1"/>
      <name val="Microsoft YaHei"/>
      <family val="2"/>
      <charset val="1"/>
    </font>
  </fonts>
  <fills count="7">
    <fill>
      <patternFill patternType="none"/>
    </fill>
    <fill>
      <patternFill patternType="gray125"/>
    </fill>
    <fill>
      <patternFill patternType="solid">
        <fgColor theme="0"/>
        <bgColor rgb="FFEBF1DE"/>
      </patternFill>
    </fill>
    <fill>
      <patternFill patternType="solid">
        <fgColor rgb="FF39A9DC"/>
        <bgColor rgb="FF00CCFF"/>
      </patternFill>
    </fill>
    <fill>
      <patternFill patternType="solid">
        <fgColor rgb="FFBFBFBF"/>
        <bgColor rgb="FFCCCCFF"/>
      </patternFill>
    </fill>
    <fill>
      <patternFill patternType="solid">
        <fgColor rgb="FFFFD300"/>
        <bgColor rgb="FFFFFF00"/>
      </patternFill>
    </fill>
    <fill>
      <patternFill patternType="solid">
        <fgColor theme="6" tint="0.7999"/>
        <bgColor rgb="FFFFFFFF"/>
      </patternFill>
    </fill>
  </fills>
  <borders count="28">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medium"/>
      <top style="medium"/>
      <bottom/>
      <diagonal/>
    </border>
    <border diagonalUp="false" diagonalDown="false">
      <left style="medium"/>
      <right style="medium"/>
      <top style="medium"/>
      <bottom style="thin"/>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thin"/>
      <right style="thin"/>
      <top style="thin"/>
      <bottom/>
      <diagonal/>
    </border>
    <border diagonalUp="false" diagonalDown="false">
      <left/>
      <right style="thin"/>
      <top style="medium"/>
      <bottom style="medium"/>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style="medium"/>
      <right style="thin"/>
      <top style="medium"/>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left" vertical="bottom" textRotation="0" wrapText="false" indent="0" shrinkToFit="false"/>
      <protection locked="fals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10" fillId="2" borderId="0" xfId="0" applyFont="true" applyBorder="tru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0" wrapText="fals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2" fillId="3" borderId="2" xfId="0" applyFont="true" applyBorder="true" applyAlignment="true" applyProtection="true">
      <alignment horizontal="center" vertical="center" textRotation="0" wrapText="true" indent="0" shrinkToFit="false"/>
      <protection locked="true" hidden="false"/>
    </xf>
    <xf numFmtId="164" fontId="12" fillId="3" borderId="3"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12" fillId="3" borderId="4"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9" fillId="0" borderId="5" xfId="0" applyFont="true" applyBorder="true" applyAlignment="true" applyProtection="true">
      <alignment horizontal="left" vertical="bottom" textRotation="0" wrapText="true" indent="0" shrinkToFit="false"/>
      <protection locked="true" hidden="false"/>
    </xf>
    <xf numFmtId="164" fontId="11" fillId="3" borderId="6" xfId="0" applyFont="true" applyBorder="true" applyAlignment="true" applyProtection="true">
      <alignment horizontal="center" vertical="center" textRotation="90" wrapText="false" indent="0" shrinkToFit="false"/>
      <protection locked="true" hidden="false"/>
    </xf>
    <xf numFmtId="164" fontId="12" fillId="3" borderId="7" xfId="0" applyFont="true" applyBorder="true" applyAlignment="true" applyProtection="true">
      <alignment horizontal="center" vertical="center" textRotation="0" wrapText="false" indent="0" shrinkToFit="false"/>
      <protection locked="true" hidden="false"/>
    </xf>
    <xf numFmtId="164" fontId="12" fillId="3" borderId="8" xfId="0" applyFont="true" applyBorder="true" applyAlignment="true" applyProtection="true">
      <alignment horizontal="center" vertical="center" textRotation="0" wrapText="false" indent="0" shrinkToFit="false"/>
      <protection locked="true" hidden="false"/>
    </xf>
    <xf numFmtId="164" fontId="12" fillId="3" borderId="9" xfId="0" applyFont="true" applyBorder="true" applyAlignment="true" applyProtection="true">
      <alignment horizontal="center" vertical="center" textRotation="0" wrapText="false" indent="0" shrinkToFit="false"/>
      <protection locked="true" hidden="false"/>
    </xf>
    <xf numFmtId="164" fontId="12" fillId="0" borderId="7" xfId="0" applyFont="true" applyBorder="true" applyAlignment="true" applyProtection="true">
      <alignment horizontal="center" vertical="center" textRotation="0" wrapText="false" indent="0" shrinkToFit="false"/>
      <protection locked="false" hidden="false"/>
    </xf>
    <xf numFmtId="164" fontId="12" fillId="0" borderId="8" xfId="0" applyFont="true" applyBorder="true" applyAlignment="true" applyProtection="true">
      <alignment horizontal="center" vertical="center" textRotation="0" wrapText="false" indent="0" shrinkToFit="false"/>
      <protection locked="true" hidden="false"/>
    </xf>
    <xf numFmtId="164" fontId="12" fillId="0" borderId="9" xfId="0" applyFont="true" applyBorder="true" applyAlignment="true" applyProtection="true">
      <alignment horizontal="center" vertical="center" textRotation="0" wrapText="false" indent="0" shrinkToFit="false"/>
      <protection locked="true" hidden="false"/>
    </xf>
    <xf numFmtId="164" fontId="12" fillId="4" borderId="9" xfId="0" applyFont="true" applyBorder="true" applyAlignment="true" applyProtection="true">
      <alignment horizontal="center" vertical="center" textRotation="0" wrapText="false" indent="0" shrinkToFit="false"/>
      <protection locked="true" hidden="false"/>
    </xf>
    <xf numFmtId="164" fontId="12" fillId="3" borderId="10" xfId="0" applyFont="true" applyBorder="true" applyAlignment="true" applyProtection="true">
      <alignment horizontal="center" vertical="center" textRotation="0" wrapText="false" indent="0" shrinkToFit="false"/>
      <protection locked="true" hidden="false"/>
    </xf>
    <xf numFmtId="164" fontId="9" fillId="0" borderId="11" xfId="0" applyFont="true" applyBorder="true" applyAlignment="true" applyProtection="true">
      <alignment horizontal="left" vertical="center" textRotation="0" wrapText="false" indent="0" shrinkToFit="false"/>
      <protection locked="true" hidden="false"/>
    </xf>
    <xf numFmtId="164" fontId="12" fillId="3" borderId="12" xfId="0" applyFont="true" applyBorder="true" applyAlignment="true" applyProtection="true">
      <alignment horizontal="center" vertical="center" textRotation="0" wrapText="false" indent="0" shrinkToFit="false"/>
      <protection locked="true" hidden="false"/>
    </xf>
    <xf numFmtId="164" fontId="12" fillId="3" borderId="11" xfId="0" applyFont="true" applyBorder="true" applyAlignment="true" applyProtection="true">
      <alignment horizontal="center" vertical="center" textRotation="0" wrapText="false" indent="0" shrinkToFit="false"/>
      <protection locked="true" hidden="false"/>
    </xf>
    <xf numFmtId="164" fontId="12" fillId="0" borderId="10" xfId="0" applyFont="true" applyBorder="true" applyAlignment="true" applyProtection="true">
      <alignment horizontal="center" vertical="center" textRotation="0" wrapText="false" indent="0" shrinkToFit="false"/>
      <protection locked="false" hidden="false"/>
    </xf>
    <xf numFmtId="164" fontId="12" fillId="0" borderId="12" xfId="0" applyFont="true" applyBorder="true" applyAlignment="true" applyProtection="true">
      <alignment horizontal="center" vertical="center" textRotation="0" wrapText="false" indent="0" shrinkToFit="false"/>
      <protection locked="true" hidden="false"/>
    </xf>
    <xf numFmtId="164" fontId="12" fillId="0" borderId="11" xfId="0" applyFont="true" applyBorder="true" applyAlignment="true" applyProtection="true">
      <alignment horizontal="center" vertical="center" textRotation="0" wrapText="false" indent="0" shrinkToFit="false"/>
      <protection locked="true" hidden="false"/>
    </xf>
    <xf numFmtId="164" fontId="12" fillId="5" borderId="13" xfId="0" applyFont="true" applyBorder="true" applyAlignment="true" applyProtection="true">
      <alignment horizontal="center" vertical="center" textRotation="0" wrapText="false" indent="0" shrinkToFit="false"/>
      <protection locked="true" hidden="false"/>
    </xf>
    <xf numFmtId="164" fontId="9" fillId="0" borderId="14" xfId="0" applyFont="true" applyBorder="true" applyAlignment="true" applyProtection="true">
      <alignment horizontal="left" vertical="center" textRotation="0" wrapText="false" indent="0" shrinkToFit="false"/>
      <protection locked="true" hidden="false"/>
    </xf>
    <xf numFmtId="164" fontId="12" fillId="3" borderId="8" xfId="0" applyFont="true" applyBorder="true" applyAlignment="true" applyProtection="true">
      <alignment horizontal="center" vertical="center" textRotation="0" wrapText="false" indent="0" shrinkToFit="false"/>
      <protection locked="false" hidden="false"/>
    </xf>
    <xf numFmtId="164" fontId="9" fillId="0" borderId="6" xfId="0" applyFont="true" applyBorder="true" applyAlignment="true" applyProtection="true">
      <alignment horizontal="left" vertical="center" textRotation="0" wrapText="true" indent="0" shrinkToFit="false"/>
      <protection locked="true" hidden="false"/>
    </xf>
    <xf numFmtId="164" fontId="12" fillId="4" borderId="11"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13" fillId="6" borderId="0" xfId="0" applyFont="true" applyBorder="true" applyAlignment="true" applyProtection="true">
      <alignment horizontal="left" vertical="center" textRotation="0" wrapText="false" indent="0" shrinkToFit="false"/>
      <protection locked="true" hidden="false"/>
    </xf>
    <xf numFmtId="164" fontId="12" fillId="3" borderId="13" xfId="0" applyFont="true" applyBorder="true" applyAlignment="true" applyProtection="true">
      <alignment horizontal="center" vertical="center" textRotation="0" wrapText="false" indent="0" shrinkToFit="false"/>
      <protection locked="true" hidden="false"/>
    </xf>
    <xf numFmtId="164" fontId="12" fillId="3" borderId="14" xfId="0" applyFont="true" applyBorder="true" applyAlignment="true" applyProtection="true">
      <alignment horizontal="center" vertical="center" textRotation="0" wrapText="false" indent="0" shrinkToFit="false"/>
      <protection locked="true" hidden="false"/>
    </xf>
    <xf numFmtId="164" fontId="12" fillId="0" borderId="13" xfId="0" applyFont="true" applyBorder="true" applyAlignment="true" applyProtection="true">
      <alignment horizontal="center" vertical="center" textRotation="0" wrapText="false" indent="0" shrinkToFit="false"/>
      <protection locked="false" hidden="false"/>
    </xf>
    <xf numFmtId="164" fontId="12" fillId="0" borderId="15"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true">
      <alignment horizontal="center" vertical="center" textRotation="0" wrapText="false" indent="0" shrinkToFit="false"/>
      <protection locked="true" hidden="false"/>
    </xf>
    <xf numFmtId="164" fontId="12" fillId="3" borderId="16" xfId="0" applyFont="true" applyBorder="true" applyAlignment="true" applyProtection="true">
      <alignment horizontal="center" vertical="center" textRotation="0" wrapText="false" indent="0" shrinkToFit="false"/>
      <protection locked="true" hidden="false"/>
    </xf>
    <xf numFmtId="164" fontId="12" fillId="3" borderId="17" xfId="0" applyFont="true" applyBorder="true" applyAlignment="true" applyProtection="true">
      <alignment horizontal="center" vertical="center" textRotation="0" wrapText="false" indent="0" shrinkToFit="false"/>
      <protection locked="true" hidden="false"/>
    </xf>
    <xf numFmtId="164" fontId="12" fillId="3" borderId="18" xfId="0" applyFont="true" applyBorder="true" applyAlignment="true" applyProtection="true">
      <alignment horizontal="center" vertical="center" textRotation="0" wrapText="false" indent="0" shrinkToFit="false"/>
      <protection locked="true" hidden="false"/>
    </xf>
    <xf numFmtId="164" fontId="12" fillId="0" borderId="16" xfId="0" applyFont="true" applyBorder="true" applyAlignment="true" applyProtection="true">
      <alignment horizontal="center" vertical="center" textRotation="0" wrapText="false" indent="0" shrinkToFit="false"/>
      <protection locked="false" hidden="false"/>
    </xf>
    <xf numFmtId="164" fontId="12" fillId="0" borderId="17" xfId="0" applyFont="true" applyBorder="true" applyAlignment="true" applyProtection="true">
      <alignment horizontal="center" vertical="center" textRotation="0" wrapText="false" indent="0" shrinkToFit="false"/>
      <protection locked="true" hidden="false"/>
    </xf>
    <xf numFmtId="164" fontId="12" fillId="0" borderId="18" xfId="0" applyFont="true" applyBorder="true" applyAlignment="true" applyProtection="true">
      <alignment horizontal="center" vertical="center" textRotation="0" wrapText="false" indent="0" shrinkToFit="false"/>
      <protection locked="true" hidden="false"/>
    </xf>
    <xf numFmtId="164" fontId="12" fillId="4" borderId="14" xfId="0" applyFont="true" applyBorder="true" applyAlignment="true" applyProtection="true">
      <alignment horizontal="center" vertical="center" textRotation="0" wrapText="false" indent="0" shrinkToFit="false"/>
      <protection locked="true" hidden="false"/>
    </xf>
    <xf numFmtId="164" fontId="12" fillId="3" borderId="19" xfId="0" applyFont="true" applyBorder="true" applyAlignment="true" applyProtection="true">
      <alignment horizontal="center" vertical="center" textRotation="0" wrapText="false" indent="0" shrinkToFit="false"/>
      <protection locked="true" hidden="false"/>
    </xf>
    <xf numFmtId="164" fontId="12" fillId="3" borderId="20" xfId="0" applyFont="true" applyBorder="true" applyAlignment="true" applyProtection="true">
      <alignment horizontal="center" vertical="center" textRotation="0" wrapText="false" indent="0" shrinkToFit="false"/>
      <protection locked="true" hidden="false"/>
    </xf>
    <xf numFmtId="164" fontId="12" fillId="0" borderId="19" xfId="0" applyFont="true" applyBorder="true" applyAlignment="true" applyProtection="true">
      <alignment horizontal="center" vertical="center" textRotation="0" wrapText="false" indent="0" shrinkToFit="false"/>
      <protection locked="false" hidden="false"/>
    </xf>
    <xf numFmtId="164" fontId="12" fillId="0" borderId="21" xfId="0" applyFont="true" applyBorder="true" applyAlignment="true" applyProtection="true">
      <alignment horizontal="center" vertical="center" textRotation="0" wrapText="false" indent="0" shrinkToFit="false"/>
      <protection locked="true" hidden="false"/>
    </xf>
    <xf numFmtId="164" fontId="12" fillId="0" borderId="20" xfId="0" applyFont="true" applyBorder="true" applyAlignment="true" applyProtection="true">
      <alignment horizontal="center" vertical="center" textRotation="0" wrapText="false" indent="0" shrinkToFit="false"/>
      <protection locked="true" hidden="false"/>
    </xf>
    <xf numFmtId="164" fontId="12" fillId="0" borderId="7" xfId="0" applyFont="true" applyBorder="true" applyAlignment="true" applyProtection="true">
      <alignment horizontal="center" vertical="center" textRotation="0" wrapText="false" indent="0" shrinkToFit="false"/>
      <protection locked="true" hidden="false"/>
    </xf>
    <xf numFmtId="164" fontId="12" fillId="0" borderId="10" xfId="0" applyFont="true" applyBorder="true" applyAlignment="true" applyProtection="true">
      <alignment horizontal="center" vertical="center" textRotation="0" wrapText="false" indent="0" shrinkToFit="false"/>
      <protection locked="true" hidden="false"/>
    </xf>
    <xf numFmtId="164" fontId="12" fillId="3" borderId="15" xfId="0" applyFont="true" applyBorder="true" applyAlignment="true" applyProtection="true">
      <alignment horizontal="center" vertical="center" textRotation="0" wrapText="false" indent="0" shrinkToFit="false"/>
      <protection locked="true" hidden="false"/>
    </xf>
    <xf numFmtId="164" fontId="12" fillId="0" borderId="13" xfId="0" applyFont="true" applyBorder="true" applyAlignment="true" applyProtection="true">
      <alignment horizontal="center" vertical="center" textRotation="0" wrapText="false" indent="0" shrinkToFit="false"/>
      <protection locked="true" hidden="false"/>
    </xf>
    <xf numFmtId="164" fontId="12" fillId="3" borderId="22" xfId="0" applyFont="true" applyBorder="tru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90" wrapText="false" indent="0" shrinkToFit="false"/>
      <protection locked="true" hidden="false"/>
    </xf>
    <xf numFmtId="164" fontId="12" fillId="3" borderId="23" xfId="0" applyFont="true" applyBorder="true" applyAlignment="true" applyProtection="true">
      <alignment horizontal="center" vertical="center" textRotation="0" wrapText="false" indent="0" shrinkToFit="false"/>
      <protection locked="true" hidden="false"/>
    </xf>
    <xf numFmtId="164" fontId="12" fillId="3" borderId="24" xfId="0" applyFont="true" applyBorder="true" applyAlignment="true" applyProtection="true">
      <alignment horizontal="center" vertical="center" textRotation="0" wrapText="false" indent="0" shrinkToFit="false"/>
      <protection locked="true" hidden="false"/>
    </xf>
    <xf numFmtId="164" fontId="12" fillId="3" borderId="12" xfId="0" applyFont="true" applyBorder="true" applyAlignment="true" applyProtection="true">
      <alignment horizontal="center" vertical="center" textRotation="0" wrapText="false" indent="0" shrinkToFit="false"/>
      <protection locked="false" hidden="false"/>
    </xf>
    <xf numFmtId="164" fontId="12" fillId="4" borderId="15" xfId="0" applyFont="true" applyBorder="true" applyAlignment="true" applyProtection="true">
      <alignment horizontal="center" vertical="center" textRotation="0" wrapText="false" indent="0" shrinkToFit="false"/>
      <protection locked="true" hidden="false"/>
    </xf>
    <xf numFmtId="164" fontId="12" fillId="3" borderId="25" xfId="0" applyFont="true" applyBorder="true" applyAlignment="true" applyProtection="true">
      <alignment horizontal="center" vertical="center" textRotation="0" wrapText="false" indent="0" shrinkToFit="false"/>
      <protection locked="true" hidden="false"/>
    </xf>
    <xf numFmtId="164" fontId="11" fillId="3" borderId="26" xfId="0" applyFont="true" applyBorder="true" applyAlignment="true" applyProtection="true">
      <alignment horizontal="center" vertical="center" textRotation="90" wrapText="false" indent="0" shrinkToFit="false"/>
      <protection locked="true" hidden="false"/>
    </xf>
    <xf numFmtId="164" fontId="12" fillId="4" borderId="21" xfId="0" applyFont="true" applyBorder="true" applyAlignment="true" applyProtection="true">
      <alignment horizontal="center" vertical="center" textRotation="0" wrapText="false" indent="0" shrinkToFit="false"/>
      <protection locked="true" hidden="false"/>
    </xf>
    <xf numFmtId="164" fontId="12" fillId="3" borderId="27" xfId="0" applyFont="true" applyBorder="true" applyAlignment="true" applyProtection="true">
      <alignment horizontal="center" vertical="center" textRotation="0" wrapText="false" indent="0" shrinkToFit="false"/>
      <protection locked="true" hidden="false"/>
    </xf>
    <xf numFmtId="164" fontId="12" fillId="3" borderId="21"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ont>
        <b val="1"/>
        <i val="0"/>
        <strike val="0"/>
        <color rgb="FF00B050"/>
      </font>
      <fill>
        <patternFill>
          <bgColor theme="6" tint="0.7999"/>
        </patternFill>
      </fill>
    </dxf>
    <dxf>
      <font>
        <b val="1"/>
        <i val="0"/>
      </font>
    </dxf>
    <dxf>
      <font>
        <name val="Calibri"/>
        <charset val="1"/>
        <family val="2"/>
        <color rgb="FF000000"/>
        <sz val="11"/>
      </font>
    </dxf>
    <dxf>
      <font>
        <b val="1"/>
        <i val="0"/>
        <strike val="0"/>
        <color rgb="FFFFFFFF"/>
      </font>
      <fill>
        <patternFill>
          <bgColor rgb="FF39A9DC"/>
        </patternFill>
      </fill>
    </dxf>
    <dxf>
      <font>
        <name val="Cambria"/>
        <charset val="1"/>
        <family val="0"/>
        <b val="1"/>
        <i val="0"/>
        <strike val="0"/>
        <color rgb="FFFFFFFF"/>
      </font>
      <fill>
        <patternFill>
          <bgColor rgb="FFFFD300"/>
        </patternFill>
      </fill>
    </dxf>
    <dxf>
      <font>
        <b val="1"/>
        <i val="0"/>
        <strike val="0"/>
        <color rgb="FF00B050"/>
      </font>
      <fill>
        <patternFill>
          <bgColor theme="6" tint="0.7999"/>
        </patternFill>
      </fill>
    </dxf>
    <dxf>
      <font>
        <b val="1"/>
        <i val="0"/>
      </font>
    </dxf>
    <dxf>
      <font>
        <b val="1"/>
        <i val="0"/>
        <strike val="0"/>
        <color rgb="FF00B050"/>
      </font>
      <fill>
        <patternFill>
          <bgColor theme="6" tint="0.7999"/>
        </patternFill>
      </fill>
    </dxf>
    <dxf>
      <font>
        <b val="1"/>
        <i val="0"/>
      </font>
    </dxf>
    <dxf>
      <font>
        <b val="1"/>
        <i val="0"/>
        <strike val="0"/>
        <color rgb="FF00B050"/>
      </font>
      <fill>
        <patternFill>
          <bgColor theme="6" tint="0.7999"/>
        </patternFill>
      </fill>
    </dxf>
    <dxf>
      <font>
        <b val="1"/>
        <i val="0"/>
      </font>
    </dxf>
    <dxf>
      <font>
        <name val="Cambria"/>
        <charset val="1"/>
        <family val="0"/>
        <b val="1"/>
        <i val="0"/>
        <strike val="0"/>
        <color rgb="FFFFFFFF"/>
      </font>
      <fill>
        <patternFill>
          <bgColor rgb="FFFFD300"/>
        </patternFill>
      </fill>
    </dxf>
    <dxf>
      <font>
        <name val="Cambria"/>
        <charset val="1"/>
        <family val="0"/>
        <b val="1"/>
        <i val="0"/>
        <strike val="0"/>
        <color rgb="FFFFFFFF"/>
      </font>
      <fill>
        <patternFill>
          <bgColor rgb="FF39A9DC"/>
        </patternFill>
      </fill>
    </dxf>
    <dxf>
      <font>
        <name val="Cambria"/>
        <charset val="1"/>
        <family val="0"/>
        <b val="1"/>
        <i val="0"/>
        <strike val="0"/>
        <color rgb="FFFFFFFF"/>
      </font>
      <fill>
        <patternFill>
          <bgColor rgb="FFFFD300"/>
        </patternFill>
      </fill>
    </dxf>
    <dxf>
      <font>
        <name val="Cambria"/>
        <charset val="1"/>
        <family val="0"/>
        <b val="1"/>
        <i val="0"/>
        <strike val="0"/>
        <color rgb="FFFFFFFF"/>
      </font>
      <fill>
        <patternFill>
          <bgColor rgb="FF39A9DC"/>
        </patternFill>
      </fill>
    </dxf>
    <dxf>
      <font>
        <b val="1"/>
        <i val="0"/>
        <strike val="0"/>
        <color rgb="FFFFFFFF"/>
      </font>
      <fill>
        <patternFill>
          <bgColor rgb="FF39A9DC"/>
        </patternFill>
      </fill>
    </dxf>
    <dxf>
      <font>
        <name val="Cambria"/>
        <charset val="1"/>
        <family val="0"/>
        <b val="1"/>
        <i val="0"/>
        <strike val="0"/>
        <color rgb="FFFFFFFF"/>
      </font>
      <fill>
        <patternFill>
          <bgColor rgb="FFFFD3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9A9DC"/>
      <rgbColor rgb="FF99CC00"/>
      <rgbColor rgb="FFFFD3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2653200</xdr:colOff>
      <xdr:row>10</xdr:row>
      <xdr:rowOff>48600</xdr:rowOff>
    </xdr:to>
    <xdr:pic>
      <xdr:nvPicPr>
        <xdr:cNvPr id="0" name="Picture 3" descr=""/>
        <xdr:cNvPicPr/>
      </xdr:nvPicPr>
      <xdr:blipFill>
        <a:blip r:embed="rId1"/>
        <a:stretch/>
      </xdr:blipFill>
      <xdr:spPr>
        <a:xfrm>
          <a:off x="0" y="190440"/>
          <a:ext cx="2653200" cy="20026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16" activeCellId="0" sqref="B16"/>
    </sheetView>
  </sheetViews>
  <sheetFormatPr defaultColWidth="9.00390625" defaultRowHeight="15" customHeight="true" zeroHeight="false" outlineLevelRow="0" outlineLevelCol="0"/>
  <cols>
    <col collapsed="false" customWidth="true" hidden="false" outlineLevel="0" max="1" min="1" style="1" width="39.84"/>
    <col collapsed="false" customWidth="true" hidden="false" outlineLevel="0" max="2" min="2" style="1" width="54.58"/>
    <col collapsed="false" customWidth="true" hidden="false" outlineLevel="0" max="3" min="3" style="2" width="23"/>
    <col collapsed="false" customWidth="true" hidden="false" outlineLevel="0" max="4" min="4" style="1" width="18"/>
    <col collapsed="false" customWidth="true" hidden="false" outlineLevel="0" max="5" min="5" style="2" width="11.43"/>
    <col collapsed="false" customWidth="true" hidden="false" outlineLevel="0" max="6" min="6" style="1" width="11"/>
    <col collapsed="false" customWidth="true" hidden="false" outlineLevel="0" max="8" min="7" style="1" width="10.58"/>
    <col collapsed="false" customWidth="false" hidden="false" outlineLevel="0" max="16384" min="9" style="1" width="9"/>
  </cols>
  <sheetData>
    <row r="1" s="1" customFormat="true" ht="15" hidden="false" customHeight="false" outlineLevel="0" collapsed="false"/>
    <row r="2" s="1" customFormat="true" ht="33.85" hidden="false" customHeight="false" outlineLevel="0" collapsed="false">
      <c r="B2" s="3" t="s">
        <v>0</v>
      </c>
    </row>
    <row r="3" s="1" customFormat="true" ht="15" hidden="false" customHeight="false" outlineLevel="0" collapsed="false"/>
    <row r="4" s="1" customFormat="true" ht="15" hidden="false" customHeight="false" outlineLevel="0" collapsed="false"/>
    <row r="5" s="1" customFormat="true" ht="15" hidden="false" customHeight="false" outlineLevel="0" collapsed="false"/>
    <row r="6" s="1" customFormat="true" ht="15" hidden="false" customHeight="false" outlineLevel="0" collapsed="false"/>
    <row r="7" s="1" customFormat="true" ht="15" hidden="false" customHeight="false" outlineLevel="0" collapsed="false"/>
    <row r="8" s="1" customFormat="true" ht="15" hidden="false" customHeight="false" outlineLevel="0" collapsed="false">
      <c r="B8" s="4" t="s">
        <v>1</v>
      </c>
      <c r="C8" s="5"/>
    </row>
    <row r="9" customFormat="false" ht="15" hidden="false" customHeight="false" outlineLevel="0" collapsed="false">
      <c r="B9" s="4" t="s">
        <v>2</v>
      </c>
      <c r="C9" s="6"/>
    </row>
    <row r="10" customFormat="false" ht="15" hidden="false" customHeight="false" outlineLevel="0" collapsed="false">
      <c r="B10" s="4" t="s">
        <v>3</v>
      </c>
      <c r="C10" s="5"/>
    </row>
    <row r="11" customFormat="false" ht="15" hidden="false" customHeight="false" outlineLevel="0" collapsed="false">
      <c r="B11" s="4" t="s">
        <v>4</v>
      </c>
      <c r="C11" s="5"/>
    </row>
    <row r="12" customFormat="false" ht="15" hidden="false" customHeight="false" outlineLevel="0" collapsed="false">
      <c r="B12" s="4" t="s">
        <v>5</v>
      </c>
      <c r="C12" s="7" t="n">
        <v>45161</v>
      </c>
    </row>
    <row r="16" customFormat="false" ht="42" hidden="false" customHeight="true" outlineLevel="0" collapsed="false">
      <c r="B16" s="8" t="s">
        <v>6</v>
      </c>
      <c r="C16" s="8"/>
      <c r="D16" s="8"/>
      <c r="E16" s="8"/>
      <c r="F16" s="8"/>
      <c r="G16" s="8"/>
      <c r="H16" s="8"/>
      <c r="I16" s="8"/>
      <c r="J16" s="8"/>
    </row>
  </sheetData>
  <sheetProtection sheet="true" objects="true" scenarios="true"/>
  <mergeCells count="1">
    <mergeCell ref="B16:J16"/>
  </mergeCells>
  <conditionalFormatting sqref="D8">
    <cfRule type="colorScale" priority="2">
      <colorScale>
        <cfvo type="min" val="0"/>
        <cfvo type="percentile" val="50"/>
        <cfvo type="max" val="0"/>
        <color rgb="FF63BE7B"/>
        <color rgb="FFFFEB84"/>
        <color rgb="FFF8696B"/>
      </colorScale>
    </cfRule>
  </conditionalFormatting>
  <conditionalFormatting sqref="B11">
    <cfRule type="colorScale" priority="3">
      <colorScale>
        <cfvo type="min" val="0"/>
        <cfvo type="percentile" val="50"/>
        <cfvo type="max" val="0"/>
        <color rgb="FF63BE7B"/>
        <color rgb="FFFFEB84"/>
        <color rgb="FFF8696B"/>
      </colorScale>
    </cfRule>
  </conditionalFormatting>
  <conditionalFormatting sqref="B10">
    <cfRule type="colorScale" priority="4">
      <colorScale>
        <cfvo type="min" val="0"/>
        <cfvo type="percentile" val="50"/>
        <cfvo type="max" val="0"/>
        <color rgb="FF63BE7B"/>
        <color rgb="FFFFEB84"/>
        <color rgb="FFF8696B"/>
      </colorScale>
    </cfRule>
  </conditionalFormatting>
  <conditionalFormatting sqref="B8:B12 D8">
    <cfRule type="colorScale" priority="5">
      <colorScale>
        <cfvo type="min" val="0"/>
        <cfvo type="percentile" val="50"/>
        <cfvo type="max" val="0"/>
        <color rgb="FF63BE7B"/>
        <color rgb="FFFFEB84"/>
        <color rgb="FFF8696B"/>
      </colorScale>
    </cfRule>
  </conditionalFormatting>
  <printOptions headings="false" gridLines="true" gridLinesSet="true" horizontalCentered="true" verticalCentered="true"/>
  <pageMargins left="0.511805555555556" right="0.511805555555556" top="0.551388888888889" bottom="0.551388888888889" header="0.315277777777778" footer="0.315277777777778"/>
  <pageSetup paperSize="8" scale="100" fitToWidth="1" fitToHeight="1" pageOrder="downThenOver" orientation="landscape" blackAndWhite="false" draft="false" cellComments="none" horizontalDpi="300" verticalDpi="300" copies="1"/>
  <headerFooter differentFirst="false" differentOddEven="false">
    <oddHeader>&amp;C&amp;F</oddHeader>
    <oddFooter>&amp;CPage &amp;P de &amp;N&amp;R&amp;1#&amp;"Arial,Normal"&amp;12&amp;Kff0000ST Restricted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F13" activeCellId="0" sqref="F13"/>
    </sheetView>
  </sheetViews>
  <sheetFormatPr defaultColWidth="11.42578125" defaultRowHeight="17.7" customHeight="true" zeroHeight="false" outlineLevelRow="0" outlineLevelCol="0"/>
  <cols>
    <col collapsed="false" customWidth="true" hidden="false" outlineLevel="0" max="1" min="1" style="9" width="8"/>
    <col collapsed="false" customWidth="true" hidden="false" outlineLevel="0" max="2" min="2" style="10" width="18"/>
    <col collapsed="false" customWidth="true" hidden="false" outlineLevel="0" max="3" min="3" style="10" width="21.26"/>
    <col collapsed="false" customWidth="true" hidden="false" outlineLevel="0" max="4" min="4" style="10" width="26.26"/>
    <col collapsed="false" customWidth="true" hidden="false" outlineLevel="0" max="5" min="5" style="10" width="20.84"/>
    <col collapsed="false" customWidth="true" hidden="false" outlineLevel="0" max="6" min="6" style="10" width="24"/>
    <col collapsed="false" customWidth="true" hidden="false" outlineLevel="0" max="7" min="7" style="10" width="11.58"/>
    <col collapsed="false" customWidth="true" hidden="false" outlineLevel="0" max="8" min="8" style="10" width="30.41"/>
    <col collapsed="false" customWidth="true" hidden="false" outlineLevel="0" max="9" min="9" style="10" width="28.26"/>
    <col collapsed="false" customWidth="true" hidden="false" outlineLevel="0" max="10" min="10" style="10" width="7.42"/>
    <col collapsed="false" customWidth="true" hidden="false" outlineLevel="0" max="11" min="11" style="10" width="11"/>
    <col collapsed="false" customWidth="true" hidden="false" outlineLevel="0" max="12" min="12" style="10" width="88.84"/>
    <col collapsed="false" customWidth="false" hidden="false" outlineLevel="0" max="19" min="13" style="10" width="11.43"/>
    <col collapsed="false" customWidth="true" hidden="false" outlineLevel="0" max="20" min="20" style="10" width="15.41"/>
    <col collapsed="false" customWidth="false" hidden="false" outlineLevel="0" max="16384" min="21" style="10" width="11.43"/>
  </cols>
  <sheetData>
    <row r="1" s="12" customFormat="true" ht="36" hidden="false" customHeight="true" outlineLevel="0" collapsed="false">
      <c r="A1" s="11" t="s">
        <v>7</v>
      </c>
      <c r="B1" s="11"/>
      <c r="C1" s="11"/>
      <c r="D1" s="11"/>
      <c r="E1" s="11"/>
      <c r="F1" s="11"/>
      <c r="G1" s="11"/>
      <c r="H1" s="11"/>
      <c r="I1" s="11"/>
    </row>
    <row r="2" customFormat="false" ht="75" hidden="false" customHeight="true" outlineLevel="0" collapsed="false">
      <c r="A2" s="13"/>
      <c r="B2" s="14" t="s">
        <v>8</v>
      </c>
      <c r="C2" s="15" t="s">
        <v>9</v>
      </c>
      <c r="D2" s="16" t="s">
        <v>10</v>
      </c>
      <c r="E2" s="17"/>
      <c r="F2" s="14" t="s">
        <v>11</v>
      </c>
      <c r="G2" s="15" t="s">
        <v>12</v>
      </c>
      <c r="H2" s="16" t="s">
        <v>13</v>
      </c>
      <c r="I2" s="18" t="s">
        <v>14</v>
      </c>
      <c r="J2" s="19"/>
      <c r="K2" s="20" t="s">
        <v>15</v>
      </c>
      <c r="L2" s="20"/>
    </row>
    <row r="3" customFormat="false" ht="15.75" hidden="false" customHeight="true" outlineLevel="0" collapsed="false">
      <c r="A3" s="21" t="s">
        <v>16</v>
      </c>
      <c r="B3" s="22" t="s">
        <v>17</v>
      </c>
      <c r="C3" s="23" t="s">
        <v>18</v>
      </c>
      <c r="D3" s="24" t="n">
        <v>3.249</v>
      </c>
      <c r="E3" s="19"/>
      <c r="F3" s="25" t="n">
        <v>24.147</v>
      </c>
      <c r="G3" s="26" t="n">
        <f aca="false">IF(OR(NET_NAME="NA",F:F="NA"),"NA",PACKAGE_LENGTH+F:F)</f>
        <v>27.396</v>
      </c>
      <c r="H3" s="27" t="n">
        <f aca="false">IF(OR(NET_NAME="NA",F:F="NA"),"NA",G:G-AVERAGEA(CLOCK_A_LENGHTS))</f>
        <v>0.974499999999996</v>
      </c>
      <c r="I3" s="28"/>
      <c r="J3" s="19"/>
      <c r="K3" s="29" t="s">
        <v>19</v>
      </c>
      <c r="L3" s="30" t="s">
        <v>20</v>
      </c>
    </row>
    <row r="4" customFormat="false" ht="16.5" hidden="false" customHeight="true" outlineLevel="0" collapsed="false">
      <c r="A4" s="21"/>
      <c r="B4" s="29" t="s">
        <v>21</v>
      </c>
      <c r="C4" s="31" t="s">
        <v>22</v>
      </c>
      <c r="D4" s="32" t="n">
        <v>7.455</v>
      </c>
      <c r="E4" s="19"/>
      <c r="F4" s="33" t="n">
        <v>0</v>
      </c>
      <c r="G4" s="34" t="n">
        <f aca="false">IF(OR(NET_NAME="NA",F:F="NA"),"NA",PACKAGE_LENGTH+F:F)</f>
        <v>7.455</v>
      </c>
      <c r="H4" s="35" t="n">
        <f aca="false">IF(OR(NET_NAME="NA",F:F="NA"),"NA",G:G-AVERAGEA(CLOCK_A_LENGHTS))</f>
        <v>-18.9665</v>
      </c>
      <c r="I4" s="28"/>
      <c r="J4" s="19"/>
      <c r="K4" s="36" t="s">
        <v>19</v>
      </c>
      <c r="L4" s="37" t="s">
        <v>23</v>
      </c>
    </row>
    <row r="5" customFormat="false" ht="17.5" hidden="false" customHeight="true" outlineLevel="0" collapsed="false">
      <c r="A5" s="21"/>
      <c r="B5" s="29" t="s">
        <v>24</v>
      </c>
      <c r="C5" s="38" t="s">
        <v>25</v>
      </c>
      <c r="D5" s="32" t="n">
        <v>4.177</v>
      </c>
      <c r="E5" s="19"/>
      <c r="F5" s="33" t="n">
        <v>24.925</v>
      </c>
      <c r="G5" s="34" t="n">
        <f aca="false">IF(OR(NET_NAME="NA",F:F="NA"),"NA",PACKAGE_LENGTH+F:F)</f>
        <v>29.102</v>
      </c>
      <c r="H5" s="35" t="n">
        <f aca="false">IF(OR(NET_NAME="NA",F:F="NA"),"NA",G:G-AVERAGEA(CLOCK_A_LENGHTS))</f>
        <v>2.6805</v>
      </c>
      <c r="I5" s="28"/>
      <c r="J5" s="19"/>
    </row>
    <row r="6" customFormat="false" ht="17.5" hidden="false" customHeight="true" outlineLevel="0" collapsed="false">
      <c r="A6" s="21"/>
      <c r="B6" s="29" t="s">
        <v>26</v>
      </c>
      <c r="C6" s="38" t="s">
        <v>27</v>
      </c>
      <c r="D6" s="32" t="n">
        <v>2.883</v>
      </c>
      <c r="E6" s="19"/>
      <c r="F6" s="33" t="n">
        <v>26.621</v>
      </c>
      <c r="G6" s="34" t="n">
        <f aca="false">IF(OR(NET_NAME="NA",F:F="NA"),"NA",PACKAGE_LENGTH+F:F)</f>
        <v>29.504</v>
      </c>
      <c r="H6" s="35" t="n">
        <f aca="false">IF(OR(NET_NAME="NA",F:F="NA"),"NA",G:G-AVERAGEA(CLOCK_A_LENGHTS))</f>
        <v>3.0825</v>
      </c>
      <c r="I6" s="28"/>
      <c r="J6" s="19"/>
      <c r="K6" s="39" t="s">
        <v>28</v>
      </c>
      <c r="L6" s="39"/>
    </row>
    <row r="7" customFormat="false" ht="15.75" hidden="false" customHeight="true" outlineLevel="0" collapsed="false">
      <c r="A7" s="21"/>
      <c r="B7" s="29" t="s">
        <v>29</v>
      </c>
      <c r="C7" s="31" t="s">
        <v>30</v>
      </c>
      <c r="D7" s="32" t="n">
        <v>3.668</v>
      </c>
      <c r="E7" s="19"/>
      <c r="F7" s="33" t="n">
        <v>23.145</v>
      </c>
      <c r="G7" s="34" t="n">
        <f aca="false">IF(OR(NET_NAME="NA",F:F="NA"),"NA",PACKAGE_LENGTH+F:F)</f>
        <v>26.813</v>
      </c>
      <c r="H7" s="40"/>
      <c r="I7" s="28"/>
      <c r="J7" s="19"/>
      <c r="K7" s="39"/>
      <c r="L7" s="39"/>
    </row>
    <row r="8" customFormat="false" ht="15.75" hidden="false" customHeight="true" outlineLevel="0" collapsed="false">
      <c r="A8" s="21"/>
      <c r="B8" s="29" t="s">
        <v>31</v>
      </c>
      <c r="C8" s="31" t="s">
        <v>32</v>
      </c>
      <c r="D8" s="32" t="n">
        <v>3.48</v>
      </c>
      <c r="E8" s="19"/>
      <c r="F8" s="33" t="n">
        <v>22.55</v>
      </c>
      <c r="G8" s="34" t="n">
        <f aca="false">IF(OR(NET_NAME="NA",F:F="NA"),"NA",PACKAGE_LENGTH+F:F)</f>
        <v>26.03</v>
      </c>
      <c r="H8" s="40"/>
      <c r="I8" s="28"/>
      <c r="J8" s="19"/>
    </row>
    <row r="9" customFormat="false" ht="15.75" hidden="false" customHeight="true" outlineLevel="0" collapsed="false">
      <c r="A9" s="21"/>
      <c r="B9" s="29" t="s">
        <v>33</v>
      </c>
      <c r="C9" s="31" t="s">
        <v>34</v>
      </c>
      <c r="D9" s="32" t="n">
        <v>6.416</v>
      </c>
      <c r="E9" s="19"/>
      <c r="F9" s="33" t="n">
        <v>21.331</v>
      </c>
      <c r="G9" s="34" t="n">
        <f aca="false">IF(OR(NET_NAME="NA",F:F="NA"),"NA",PACKAGE_LENGTH+F:F)</f>
        <v>27.747</v>
      </c>
      <c r="H9" s="35" t="n">
        <f aca="false">IF(OR(NET_NAME="NA",F:F="NA"),"NA",G:G-AVERAGEA(CLOCK_A_LENGHTS))</f>
        <v>1.3255</v>
      </c>
      <c r="I9" s="28"/>
      <c r="J9" s="19"/>
    </row>
    <row r="10" customFormat="false" ht="15.75" hidden="false" customHeight="true" outlineLevel="0" collapsed="false">
      <c r="A10" s="21"/>
      <c r="B10" s="29" t="s">
        <v>35</v>
      </c>
      <c r="C10" s="31" t="s">
        <v>36</v>
      </c>
      <c r="D10" s="32" t="n">
        <v>8.297</v>
      </c>
      <c r="E10" s="19"/>
      <c r="F10" s="33" t="n">
        <v>0</v>
      </c>
      <c r="G10" s="34" t="n">
        <f aca="false">IF(OR(NET_NAME="NA",F:F="NA"),"NA",PACKAGE_LENGTH+F:F)</f>
        <v>8.297</v>
      </c>
      <c r="H10" s="35" t="n">
        <f aca="false">IF(OR(NET_NAME="NA",F:F="NA"),"NA",G:G-AVERAGEA(CLOCK_A_LENGHTS))</f>
        <v>-18.1245</v>
      </c>
      <c r="I10" s="28"/>
      <c r="J10" s="19"/>
      <c r="K10" s="41" t="s">
        <v>37</v>
      </c>
      <c r="L10" s="41"/>
    </row>
    <row r="11" customFormat="false" ht="15.75" hidden="false" customHeight="true" outlineLevel="0" collapsed="false">
      <c r="A11" s="21"/>
      <c r="B11" s="29" t="s">
        <v>38</v>
      </c>
      <c r="C11" s="38" t="s">
        <v>39</v>
      </c>
      <c r="D11" s="32" t="n">
        <v>3.998</v>
      </c>
      <c r="E11" s="19"/>
      <c r="F11" s="33" t="n">
        <v>20.888</v>
      </c>
      <c r="G11" s="34" t="n">
        <f aca="false">IF(OR(NET_NAME="NA",F:F="NA"),"NA",PACKAGE_LENGTH+F:F)</f>
        <v>24.886</v>
      </c>
      <c r="H11" s="35" t="n">
        <f aca="false">IF(OR(NET_NAME="NA",F:F="NA"),"NA",G:G-AVERAGEA(CLOCK_A_LENGHTS))</f>
        <v>-1.5355</v>
      </c>
      <c r="I11" s="28"/>
      <c r="J11" s="19"/>
    </row>
    <row r="12" customFormat="false" ht="15.75" hidden="false" customHeight="true" outlineLevel="0" collapsed="false">
      <c r="A12" s="21"/>
      <c r="B12" s="29" t="s">
        <v>40</v>
      </c>
      <c r="C12" s="38" t="s">
        <v>41</v>
      </c>
      <c r="D12" s="32" t="n">
        <v>2.87</v>
      </c>
      <c r="E12" s="19"/>
      <c r="F12" s="33" t="n">
        <v>21.418</v>
      </c>
      <c r="G12" s="34" t="n">
        <f aca="false">IF(OR(NET_NAME="NA",F:F="NA"),"NA",PACKAGE_LENGTH+F:F)</f>
        <v>24.288</v>
      </c>
      <c r="H12" s="35" t="n">
        <f aca="false">IF(OR(NET_NAME="NA",F:F="NA"),"NA",G:G-AVERAGEA(CLOCK_A_LENGHTS))</f>
        <v>-2.1335</v>
      </c>
      <c r="I12" s="28"/>
      <c r="J12" s="19"/>
      <c r="K12" s="42" t="s">
        <v>42</v>
      </c>
      <c r="L12" s="42"/>
    </row>
    <row r="13" customFormat="false" ht="15.75" hidden="false" customHeight="true" outlineLevel="0" collapsed="false">
      <c r="A13" s="21"/>
      <c r="B13" s="29" t="s">
        <v>43</v>
      </c>
      <c r="C13" s="38" t="s">
        <v>44</v>
      </c>
      <c r="D13" s="32" t="n">
        <v>2.803</v>
      </c>
      <c r="E13" s="19"/>
      <c r="F13" s="33" t="n">
        <v>20.85</v>
      </c>
      <c r="G13" s="34" t="n">
        <f aca="false">IF(OR(NET_NAME="NA",F:F="NA"),"NA",PACKAGE_LENGTH+F:F)</f>
        <v>23.653</v>
      </c>
      <c r="H13" s="35" t="n">
        <f aca="false">IF(OR(NET_NAME="NA",F:F="NA"),"NA",G:G-AVERAGEA(CLOCK_A_LENGHTS))</f>
        <v>-2.7685</v>
      </c>
      <c r="I13" s="28"/>
    </row>
    <row r="14" customFormat="false" ht="15.75" hidden="false" customHeight="true" outlineLevel="0" collapsed="false">
      <c r="A14" s="21"/>
      <c r="B14" s="43" t="s">
        <v>45</v>
      </c>
      <c r="C14" s="38" t="s">
        <v>46</v>
      </c>
      <c r="D14" s="44" t="n">
        <v>3.232</v>
      </c>
      <c r="E14" s="19"/>
      <c r="F14" s="45" t="n">
        <v>21.577</v>
      </c>
      <c r="G14" s="46" t="n">
        <f aca="false">IF(OR(NET_NAME="NA",F:F="NA"),"NA",PACKAGE_LENGTH+F:F)</f>
        <v>24.809</v>
      </c>
      <c r="H14" s="47" t="n">
        <f aca="false">IF(OR(NET_NAME="NA",F:F="NA"),"NA",G:G-AVERAGEA(CLOCK_A_LENGHTS))</f>
        <v>-1.6125</v>
      </c>
      <c r="I14" s="28"/>
    </row>
    <row r="15" customFormat="false" ht="15.4" hidden="false" customHeight="true" outlineLevel="0" collapsed="false">
      <c r="A15" s="21"/>
      <c r="B15" s="48" t="s">
        <v>47</v>
      </c>
      <c r="C15" s="49" t="s">
        <v>48</v>
      </c>
      <c r="D15" s="50" t="n">
        <v>5.642</v>
      </c>
      <c r="E15" s="19"/>
      <c r="F15" s="51" t="n">
        <v>21.843</v>
      </c>
      <c r="G15" s="52" t="n">
        <f aca="false">IF(OR(NET_NAME="NA",F:F="NA"),"NA",PACKAGE_LENGTH+F:F)</f>
        <v>27.485</v>
      </c>
      <c r="H15" s="53" t="n">
        <f aca="false">IF(OR(NET_NAME="NA",F:F="NA"),"NA",G:G-AVERAGEA(CLOCK_B_LENGHTS))</f>
        <v>2.743</v>
      </c>
      <c r="I15" s="28"/>
    </row>
    <row r="16" customFormat="false" ht="15.75" hidden="false" customHeight="true" outlineLevel="0" collapsed="false">
      <c r="A16" s="21"/>
      <c r="B16" s="29" t="s">
        <v>49</v>
      </c>
      <c r="C16" s="31" t="s">
        <v>50</v>
      </c>
      <c r="D16" s="32" t="n">
        <v>5.788</v>
      </c>
      <c r="E16" s="19"/>
      <c r="F16" s="33" t="n">
        <v>0</v>
      </c>
      <c r="G16" s="34" t="n">
        <f aca="false">IF(OR(NET_NAME="NA",F:F="NA"),"NA",PACKAGE_LENGTH+F:F)</f>
        <v>5.788</v>
      </c>
      <c r="H16" s="35" t="n">
        <f aca="false">IF(OR(NET_NAME="NA",F:F="NA"),"NA",G:G-AVERAGEA(CLOCK_B_LENGHTS))</f>
        <v>-18.954</v>
      </c>
      <c r="I16" s="28"/>
    </row>
    <row r="17" customFormat="false" ht="17.5" hidden="false" customHeight="true" outlineLevel="0" collapsed="false">
      <c r="A17" s="21"/>
      <c r="B17" s="29" t="s">
        <v>51</v>
      </c>
      <c r="C17" s="38" t="s">
        <v>52</v>
      </c>
      <c r="D17" s="32" t="n">
        <v>4.525</v>
      </c>
      <c r="E17" s="19"/>
      <c r="F17" s="33" t="n">
        <v>23.411</v>
      </c>
      <c r="G17" s="34" t="n">
        <f aca="false">IF(OR(NET_NAME="NA",F:F="NA"),"NA",PACKAGE_LENGTH+F:F)</f>
        <v>27.936</v>
      </c>
      <c r="H17" s="35" t="n">
        <f aca="false">IF(OR(NET_NAME="NA",F:F="NA"),"NA",G:G-AVERAGEA(CLOCK_B_LENGHTS))</f>
        <v>3.194</v>
      </c>
      <c r="I17" s="28"/>
    </row>
    <row r="18" customFormat="false" ht="15.75" hidden="false" customHeight="true" outlineLevel="0" collapsed="false">
      <c r="A18" s="21"/>
      <c r="B18" s="29" t="s">
        <v>53</v>
      </c>
      <c r="C18" s="38" t="s">
        <v>54</v>
      </c>
      <c r="D18" s="32" t="n">
        <v>2.989</v>
      </c>
      <c r="E18" s="19"/>
      <c r="F18" s="33" t="n">
        <v>23.675</v>
      </c>
      <c r="G18" s="34" t="n">
        <f aca="false">IF(OR(NET_NAME="NA",F:F="NA"),"NA",PACKAGE_LENGTH+F:F)</f>
        <v>26.664</v>
      </c>
      <c r="H18" s="35" t="n">
        <f aca="false">IF(OR(NET_NAME="NA",F:F="NA"),"NA",G:G-AVERAGEA(CLOCK_B_LENGHTS))</f>
        <v>1.922</v>
      </c>
      <c r="I18" s="28"/>
    </row>
    <row r="19" customFormat="false" ht="15.75" hidden="false" customHeight="true" outlineLevel="0" collapsed="false">
      <c r="A19" s="21"/>
      <c r="B19" s="29" t="s">
        <v>55</v>
      </c>
      <c r="C19" s="31" t="s">
        <v>56</v>
      </c>
      <c r="D19" s="32" t="n">
        <v>5.447</v>
      </c>
      <c r="E19" s="19"/>
      <c r="F19" s="33" t="n">
        <v>19.237</v>
      </c>
      <c r="G19" s="34" t="n">
        <f aca="false">IF(OR(NET_NAME="NA",F:F="NA"),"NA",PACKAGE_LENGTH+F:F)</f>
        <v>24.684</v>
      </c>
      <c r="H19" s="40"/>
      <c r="I19" s="35" t="n">
        <f aca="false">AVERAGEA(CLOCK_A_LENGHTS)-AVERAGEA(CLOCK_B_LENGHTS)</f>
        <v>1.6795</v>
      </c>
    </row>
    <row r="20" customFormat="false" ht="15.75" hidden="false" customHeight="true" outlineLevel="0" collapsed="false">
      <c r="A20" s="21"/>
      <c r="B20" s="29" t="s">
        <v>57</v>
      </c>
      <c r="C20" s="31" t="s">
        <v>58</v>
      </c>
      <c r="D20" s="32" t="n">
        <v>6.436</v>
      </c>
      <c r="E20" s="19"/>
      <c r="F20" s="33" t="n">
        <v>18.364</v>
      </c>
      <c r="G20" s="34" t="n">
        <f aca="false">IF(OR(NET_NAME="NA",F:F="NA"),"NA",PACKAGE_LENGTH+F:F)</f>
        <v>24.8</v>
      </c>
      <c r="H20" s="40"/>
      <c r="I20" s="35"/>
    </row>
    <row r="21" customFormat="false" ht="15.75" hidden="false" customHeight="true" outlineLevel="0" collapsed="false">
      <c r="A21" s="21"/>
      <c r="B21" s="29" t="s">
        <v>59</v>
      </c>
      <c r="C21" s="31" t="s">
        <v>60</v>
      </c>
      <c r="D21" s="32" t="n">
        <v>6.249</v>
      </c>
      <c r="E21" s="19"/>
      <c r="F21" s="33" t="n">
        <v>21.791</v>
      </c>
      <c r="G21" s="34" t="n">
        <f aca="false">IF(OR(NET_NAME="NA",F:F="NA"),"NA",PACKAGE_LENGTH+F:F)</f>
        <v>28.04</v>
      </c>
      <c r="H21" s="35" t="n">
        <f aca="false">IF(OR(NET_NAME="NA",F:F="NA"),"NA",G:G-AVERAGEA(CLOCK_B_LENGHTS))</f>
        <v>3.298</v>
      </c>
      <c r="I21" s="54"/>
    </row>
    <row r="22" customFormat="false" ht="15.75" hidden="false" customHeight="true" outlineLevel="0" collapsed="false">
      <c r="A22" s="21"/>
      <c r="B22" s="29" t="s">
        <v>61</v>
      </c>
      <c r="C22" s="31" t="s">
        <v>62</v>
      </c>
      <c r="D22" s="32" t="n">
        <v>2.614</v>
      </c>
      <c r="E22" s="19"/>
      <c r="F22" s="33" t="n">
        <v>0</v>
      </c>
      <c r="G22" s="34" t="n">
        <f aca="false">IF(OR(NET_NAME="NA",F:F="NA"),"NA",PACKAGE_LENGTH+F:F)</f>
        <v>2.614</v>
      </c>
      <c r="H22" s="35" t="n">
        <f aca="false">IF(OR(NET_NAME="NA",F:F="NA"),"NA",G:G-AVERAGEA(CLOCK_B_LENGHTS))</f>
        <v>-22.128</v>
      </c>
      <c r="I22" s="54"/>
    </row>
    <row r="23" customFormat="false" ht="15.75" hidden="false" customHeight="true" outlineLevel="0" collapsed="false">
      <c r="A23" s="21"/>
      <c r="B23" s="29" t="s">
        <v>63</v>
      </c>
      <c r="C23" s="38" t="s">
        <v>64</v>
      </c>
      <c r="D23" s="32" t="n">
        <v>3.763</v>
      </c>
      <c r="E23" s="19"/>
      <c r="F23" s="33" t="n">
        <v>19.932</v>
      </c>
      <c r="G23" s="34" t="n">
        <f aca="false">IF(OR(NET_NAME="NA",F:F="NA"),"NA",PACKAGE_LENGTH+F:F)</f>
        <v>23.695</v>
      </c>
      <c r="H23" s="35" t="n">
        <f aca="false">IF(OR(NET_NAME="NA",F:F="NA"),"NA",G:G-AVERAGEA(CLOCK_B_LENGHTS))</f>
        <v>-1.047</v>
      </c>
      <c r="I23" s="54"/>
    </row>
    <row r="24" customFormat="false" ht="15.6" hidden="false" customHeight="true" outlineLevel="0" collapsed="false">
      <c r="A24" s="21"/>
      <c r="B24" s="29" t="s">
        <v>65</v>
      </c>
      <c r="C24" s="38" t="s">
        <v>66</v>
      </c>
      <c r="D24" s="32" t="n">
        <v>4.491</v>
      </c>
      <c r="E24" s="19"/>
      <c r="F24" s="33" t="n">
        <v>18.321</v>
      </c>
      <c r="G24" s="34" t="n">
        <f aca="false">IF(OR(NET_NAME="NA",F:F="NA"),"NA",PACKAGE_LENGTH+F:F)</f>
        <v>22.812</v>
      </c>
      <c r="H24" s="35" t="n">
        <f aca="false">IF(OR(NET_NAME="NA",F:F="NA"),"NA",G:G-AVERAGEA(CLOCK_B_LENGHTS))</f>
        <v>-1.93</v>
      </c>
      <c r="I24" s="54"/>
    </row>
    <row r="25" customFormat="false" ht="15.6" hidden="false" customHeight="true" outlineLevel="0" collapsed="false">
      <c r="A25" s="21"/>
      <c r="B25" s="29" t="s">
        <v>67</v>
      </c>
      <c r="C25" s="38" t="s">
        <v>68</v>
      </c>
      <c r="D25" s="32" t="n">
        <v>4.868</v>
      </c>
      <c r="E25" s="19"/>
      <c r="F25" s="33" t="n">
        <v>18.059</v>
      </c>
      <c r="G25" s="34" t="n">
        <f aca="false">IF(OR(NET_NAME="NA",F:F="NA"),"NA",PACKAGE_LENGTH+F:F)</f>
        <v>22.927</v>
      </c>
      <c r="H25" s="35" t="n">
        <f aca="false">IF(OR(NET_NAME="NA",F:F="NA"),"NA",G:G-AVERAGEA(CLOCK_B_LENGHTS))</f>
        <v>-1.815</v>
      </c>
      <c r="I25" s="54"/>
    </row>
    <row r="26" customFormat="false" ht="15.6" hidden="false" customHeight="true" outlineLevel="0" collapsed="false">
      <c r="A26" s="21"/>
      <c r="B26" s="55" t="s">
        <v>69</v>
      </c>
      <c r="C26" s="38" t="s">
        <v>70</v>
      </c>
      <c r="D26" s="56" t="n">
        <v>8.075</v>
      </c>
      <c r="E26" s="19"/>
      <c r="F26" s="57" t="n">
        <v>15.45</v>
      </c>
      <c r="G26" s="58" t="n">
        <f aca="false">IF(OR(NET_NAME="NA",F:F="NA"),"NA",PACKAGE_LENGTH+F:F)</f>
        <v>23.525</v>
      </c>
      <c r="H26" s="59" t="n">
        <f aca="false">IF(OR(NET_NAME="NA",F:F="NA"),"NA",G:G-AVERAGEA(CLOCK_B_LENGHTS))</f>
        <v>-1.217</v>
      </c>
      <c r="I26" s="54"/>
    </row>
    <row r="27" customFormat="false" ht="15.6" hidden="false" customHeight="true" outlineLevel="0" collapsed="false">
      <c r="A27" s="21"/>
      <c r="B27" s="22" t="s">
        <v>71</v>
      </c>
      <c r="C27" s="23" t="s">
        <v>72</v>
      </c>
      <c r="D27" s="24" t="n">
        <v>5.302</v>
      </c>
      <c r="E27" s="19"/>
      <c r="F27" s="60" t="s">
        <v>72</v>
      </c>
      <c r="G27" s="26" t="str">
        <f aca="false">IF(OR(NET_NAME="NA",F:F="NA"),"NA",PACKAGE_LENGTH+F:F)</f>
        <v>NA</v>
      </c>
      <c r="H27" s="27" t="str">
        <f aca="false">IF(OR(NET_NAME="NA",F:F="NA"),"NA",G:G-AVERAGEA(CLOCK_A_LENGHTS))</f>
        <v>NA</v>
      </c>
      <c r="I27" s="54"/>
    </row>
    <row r="28" customFormat="false" ht="15.6" hidden="false" customHeight="true" outlineLevel="0" collapsed="false">
      <c r="A28" s="21"/>
      <c r="B28" s="29" t="s">
        <v>73</v>
      </c>
      <c r="C28" s="31" t="s">
        <v>72</v>
      </c>
      <c r="D28" s="32" t="n">
        <v>8.368</v>
      </c>
      <c r="E28" s="19"/>
      <c r="F28" s="61" t="s">
        <v>72</v>
      </c>
      <c r="G28" s="34" t="str">
        <f aca="false">IF(OR(NET_NAME="NA",F:F="NA"),"NA",PACKAGE_LENGTH+F:F)</f>
        <v>NA</v>
      </c>
      <c r="H28" s="35" t="str">
        <f aca="false">IF(OR(NET_NAME="NA",F:F="NA"),"NA",G:G-AVERAGEA(CLOCK_A_LENGHTS))</f>
        <v>NA</v>
      </c>
      <c r="I28" s="54"/>
    </row>
    <row r="29" customFormat="false" ht="15.6" hidden="false" customHeight="true" outlineLevel="0" collapsed="false">
      <c r="A29" s="21"/>
      <c r="B29" s="29" t="s">
        <v>74</v>
      </c>
      <c r="C29" s="31" t="s">
        <v>72</v>
      </c>
      <c r="D29" s="32" t="n">
        <v>7.661</v>
      </c>
      <c r="E29" s="19"/>
      <c r="F29" s="61" t="s">
        <v>72</v>
      </c>
      <c r="G29" s="34" t="str">
        <f aca="false">IF(OR(NET_NAME="NA",F:F="NA"),"NA",PACKAGE_LENGTH+F:F)</f>
        <v>NA</v>
      </c>
      <c r="H29" s="35" t="str">
        <f aca="false">IF(OR(NET_NAME="NA",F:F="NA"),"NA",G:G-AVERAGEA(CLOCK_A_LENGHTS))</f>
        <v>NA</v>
      </c>
      <c r="I29" s="54"/>
    </row>
    <row r="30" customFormat="false" ht="15.75" hidden="false" customHeight="true" outlineLevel="0" collapsed="false">
      <c r="A30" s="21"/>
      <c r="B30" s="29" t="s">
        <v>75</v>
      </c>
      <c r="C30" s="31" t="s">
        <v>72</v>
      </c>
      <c r="D30" s="32" t="n">
        <v>9.257</v>
      </c>
      <c r="E30" s="19"/>
      <c r="F30" s="61" t="s">
        <v>72</v>
      </c>
      <c r="G30" s="34" t="str">
        <f aca="false">IF(OR(NET_NAME="NA",F:F="NA"),"NA",PACKAGE_LENGTH+F:F)</f>
        <v>NA</v>
      </c>
      <c r="H30" s="35" t="str">
        <f aca="false">IF(OR(NET_NAME="NA",F:F="NA"),"NA",G:G-AVERAGEA(CLOCK_A_LENGHTS))</f>
        <v>NA</v>
      </c>
      <c r="I30" s="54"/>
    </row>
    <row r="31" customFormat="false" ht="15.75" hidden="false" customHeight="true" outlineLevel="0" collapsed="false">
      <c r="A31" s="21"/>
      <c r="B31" s="29" t="s">
        <v>76</v>
      </c>
      <c r="C31" s="31" t="s">
        <v>72</v>
      </c>
      <c r="D31" s="32" t="n">
        <v>7.158</v>
      </c>
      <c r="E31" s="19"/>
      <c r="F31" s="61" t="s">
        <v>72</v>
      </c>
      <c r="G31" s="34" t="str">
        <f aca="false">IF(OR(NET_NAME="NA",F:F="NA"),"NA",PACKAGE_LENGTH+F:F)</f>
        <v>NA</v>
      </c>
      <c r="H31" s="35" t="str">
        <f aca="false">IF(OR(NET_NAME="NA",F:F="NA"),"NA",G:G-AVERAGEA(CLOCK_A_LENGHTS))</f>
        <v>NA</v>
      </c>
      <c r="I31" s="54"/>
    </row>
    <row r="32" customFormat="false" ht="15.75" hidden="false" customHeight="true" outlineLevel="0" collapsed="false">
      <c r="A32" s="21"/>
      <c r="B32" s="29" t="s">
        <v>77</v>
      </c>
      <c r="C32" s="31" t="s">
        <v>72</v>
      </c>
      <c r="D32" s="32" t="n">
        <v>6.124</v>
      </c>
      <c r="E32" s="19"/>
      <c r="F32" s="61" t="s">
        <v>72</v>
      </c>
      <c r="G32" s="34" t="str">
        <f aca="false">IF(OR(NET_NAME="NA",F:F="NA"),"NA",PACKAGE_LENGTH+F:F)</f>
        <v>NA</v>
      </c>
      <c r="H32" s="35" t="str">
        <f aca="false">IF(OR(NET_NAME="NA",F:F="NA"),"NA",G:G-AVERAGEA(CLOCK_A_LENGHTS))</f>
        <v>NA</v>
      </c>
      <c r="I32" s="54"/>
    </row>
    <row r="33" customFormat="false" ht="15.75" hidden="false" customHeight="true" outlineLevel="0" collapsed="false">
      <c r="A33" s="21"/>
      <c r="B33" s="43" t="s">
        <v>78</v>
      </c>
      <c r="C33" s="62" t="s">
        <v>72</v>
      </c>
      <c r="D33" s="44" t="n">
        <v>7.004</v>
      </c>
      <c r="E33" s="19"/>
      <c r="F33" s="63" t="s">
        <v>72</v>
      </c>
      <c r="G33" s="46" t="str">
        <f aca="false">IF(OR(NET_NAME="NA",F:F="NA"),"NA",PACKAGE_LENGTH+F:F)</f>
        <v>NA</v>
      </c>
      <c r="H33" s="47" t="str">
        <f aca="false">IF(OR(NET_NAME="NA",F:F="NA"),"NA",G:G-AVERAGEA(CLOCK_A_LENGHTS))</f>
        <v>NA</v>
      </c>
      <c r="I33" s="54"/>
    </row>
    <row r="37" customFormat="false" ht="18" hidden="false" customHeight="false" outlineLevel="0" collapsed="false"/>
    <row r="38" customFormat="false" ht="35.5" hidden="false" customHeight="false" outlineLevel="0" collapsed="false">
      <c r="A38" s="13"/>
      <c r="B38" s="64" t="s">
        <v>8</v>
      </c>
      <c r="C38" s="15" t="s">
        <v>9</v>
      </c>
      <c r="D38" s="16" t="s">
        <v>10</v>
      </c>
      <c r="E38" s="17"/>
      <c r="F38" s="14" t="s">
        <v>11</v>
      </c>
      <c r="G38" s="15" t="s">
        <v>12</v>
      </c>
      <c r="H38" s="15" t="s">
        <v>79</v>
      </c>
      <c r="I38" s="16" t="s">
        <v>80</v>
      </c>
    </row>
    <row r="39" customFormat="false" ht="15" hidden="false" customHeight="true" outlineLevel="0" collapsed="false">
      <c r="A39" s="65" t="s">
        <v>81</v>
      </c>
      <c r="B39" s="66" t="s">
        <v>82</v>
      </c>
      <c r="C39" s="38" t="s">
        <v>83</v>
      </c>
      <c r="D39" s="24" t="n">
        <v>5.226</v>
      </c>
      <c r="E39" s="19"/>
      <c r="F39" s="25" t="n">
        <v>28.605</v>
      </c>
      <c r="G39" s="26" t="n">
        <f aca="false">IF(OR(NET_NAME="NA",F:F="NA"),"NA",PACKAGE_LENGTH+F:F)</f>
        <v>33.831</v>
      </c>
      <c r="H39" s="26" t="n">
        <f aca="false">IF(OR(NET_NAME="NA",F:F="NA"),"NA",G:G-AVERAGEA(DQS0_A_LENGTHS))</f>
        <v>-1.385</v>
      </c>
      <c r="I39" s="28"/>
    </row>
    <row r="40" customFormat="false" ht="17.7" hidden="false" customHeight="false" outlineLevel="0" collapsed="false">
      <c r="A40" s="65"/>
      <c r="B40" s="67" t="s">
        <v>84</v>
      </c>
      <c r="C40" s="68" t="s">
        <v>85</v>
      </c>
      <c r="D40" s="32" t="n">
        <v>5.425</v>
      </c>
      <c r="E40" s="19"/>
      <c r="F40" s="33" t="n">
        <v>28.669</v>
      </c>
      <c r="G40" s="34" t="n">
        <f aca="false">IF(OR(NET_NAME="NA",F:F="NA"),"NA",PACKAGE_LENGTH+F:F)</f>
        <v>34.094</v>
      </c>
      <c r="H40" s="34" t="n">
        <f aca="false">IF(OR(NET_NAME="NA",F:F="NA"),"NA",G:G-AVERAGEA(DQS0_A_LENGTHS))</f>
        <v>-1.122</v>
      </c>
      <c r="I40" s="28"/>
    </row>
    <row r="41" customFormat="false" ht="17.7" hidden="false" customHeight="false" outlineLevel="0" collapsed="false">
      <c r="A41" s="65"/>
      <c r="B41" s="67" t="s">
        <v>86</v>
      </c>
      <c r="C41" s="68" t="s">
        <v>87</v>
      </c>
      <c r="D41" s="32" t="n">
        <v>5.994</v>
      </c>
      <c r="E41" s="19"/>
      <c r="F41" s="33" t="n">
        <v>28.858</v>
      </c>
      <c r="G41" s="34" t="n">
        <f aca="false">IF(OR(NET_NAME="NA",F:F="NA"),"NA",PACKAGE_LENGTH+F:F)</f>
        <v>34.852</v>
      </c>
      <c r="H41" s="34" t="n">
        <f aca="false">IF(OR(NET_NAME="NA",F:F="NA"),"NA",G:G-AVERAGEA(DQS0_A_LENGTHS))</f>
        <v>-0.363999999999997</v>
      </c>
      <c r="I41" s="28"/>
    </row>
    <row r="42" customFormat="false" ht="17.7" hidden="false" customHeight="false" outlineLevel="0" collapsed="false">
      <c r="A42" s="65"/>
      <c r="B42" s="67" t="s">
        <v>88</v>
      </c>
      <c r="C42" s="68" t="s">
        <v>89</v>
      </c>
      <c r="D42" s="32" t="n">
        <v>5.98</v>
      </c>
      <c r="E42" s="19"/>
      <c r="F42" s="33" t="n">
        <v>30.547</v>
      </c>
      <c r="G42" s="34" t="n">
        <f aca="false">IF(OR(NET_NAME="NA",F:F="NA"),"NA",PACKAGE_LENGTH+F:F)</f>
        <v>36.527</v>
      </c>
      <c r="H42" s="34" t="n">
        <f aca="false">IF(OR(NET_NAME="NA",F:F="NA"),"NA",G:G-AVERAGEA(DQS0_A_LENGTHS))</f>
        <v>1.311</v>
      </c>
      <c r="I42" s="28"/>
    </row>
    <row r="43" customFormat="false" ht="17.7" hidden="false" customHeight="false" outlineLevel="0" collapsed="false">
      <c r="A43" s="65"/>
      <c r="B43" s="67" t="s">
        <v>90</v>
      </c>
      <c r="C43" s="68" t="s">
        <v>91</v>
      </c>
      <c r="D43" s="32" t="n">
        <v>4.037</v>
      </c>
      <c r="E43" s="19"/>
      <c r="F43" s="33" t="n">
        <v>29.933</v>
      </c>
      <c r="G43" s="34" t="n">
        <f aca="false">IF(OR(NET_NAME="NA",F:F="NA"),"NA",PACKAGE_LENGTH+F:F)</f>
        <v>33.97</v>
      </c>
      <c r="H43" s="34" t="n">
        <f aca="false">IF(OR(NET_NAME="NA",F:F="NA"),"NA",G:G-AVERAGEA(DQS0_A_LENGTHS))</f>
        <v>-1.246</v>
      </c>
      <c r="I43" s="28"/>
    </row>
    <row r="44" customFormat="false" ht="17.7" hidden="false" customHeight="false" outlineLevel="0" collapsed="false">
      <c r="A44" s="65"/>
      <c r="B44" s="67" t="s">
        <v>92</v>
      </c>
      <c r="C44" s="68" t="s">
        <v>93</v>
      </c>
      <c r="D44" s="32" t="n">
        <v>5.028</v>
      </c>
      <c r="E44" s="19"/>
      <c r="F44" s="33" t="n">
        <v>29.151</v>
      </c>
      <c r="G44" s="34" t="n">
        <f aca="false">IF(OR(NET_NAME="NA",F:F="NA"),"NA",PACKAGE_LENGTH+F:F)</f>
        <v>34.179</v>
      </c>
      <c r="H44" s="34" t="n">
        <f aca="false">IF(OR(NET_NAME="NA",F:F="NA"),"NA",G:G-AVERAGEA(DQS0_A_LENGTHS))</f>
        <v>-1.037</v>
      </c>
      <c r="I44" s="28"/>
    </row>
    <row r="45" customFormat="false" ht="17.7" hidden="false" customHeight="false" outlineLevel="0" collapsed="false">
      <c r="A45" s="65"/>
      <c r="B45" s="67" t="s">
        <v>94</v>
      </c>
      <c r="C45" s="68" t="s">
        <v>95</v>
      </c>
      <c r="D45" s="32" t="n">
        <v>4.856</v>
      </c>
      <c r="E45" s="19"/>
      <c r="F45" s="33" t="n">
        <v>29.043</v>
      </c>
      <c r="G45" s="34" t="n">
        <f aca="false">IF(OR(NET_NAME="NA",F:F="NA"),"NA",PACKAGE_LENGTH+F:F)</f>
        <v>33.899</v>
      </c>
      <c r="H45" s="34" t="n">
        <f aca="false">IF(OR(NET_NAME="NA",F:F="NA"),"NA",G:G-AVERAGEA(DQS0_A_LENGTHS))</f>
        <v>-1.317</v>
      </c>
      <c r="I45" s="28"/>
    </row>
    <row r="46" customFormat="false" ht="17.7" hidden="false" customHeight="false" outlineLevel="0" collapsed="false">
      <c r="A46" s="65"/>
      <c r="B46" s="67" t="s">
        <v>96</v>
      </c>
      <c r="C46" s="68" t="s">
        <v>97</v>
      </c>
      <c r="D46" s="32" t="n">
        <v>3.987</v>
      </c>
      <c r="E46" s="19"/>
      <c r="F46" s="33" t="n">
        <v>31.404</v>
      </c>
      <c r="G46" s="34" t="n">
        <f aca="false">IF(OR(NET_NAME="NA",F:F="NA"),"NA",PACKAGE_LENGTH+F:F)</f>
        <v>35.391</v>
      </c>
      <c r="H46" s="34" t="n">
        <f aca="false">IF(OR(NET_NAME="NA",F:F="NA"),"NA",G:G-AVERAGEA(DQS0_A_LENGTHS))</f>
        <v>0.174999999999997</v>
      </c>
      <c r="I46" s="28"/>
    </row>
    <row r="47" customFormat="false" ht="17.7" hidden="false" customHeight="false" outlineLevel="0" collapsed="false">
      <c r="A47" s="65"/>
      <c r="B47" s="67" t="s">
        <v>98</v>
      </c>
      <c r="C47" s="31" t="s">
        <v>99</v>
      </c>
      <c r="D47" s="32" t="n">
        <v>6.086</v>
      </c>
      <c r="E47" s="19"/>
      <c r="F47" s="33" t="n">
        <v>28.339</v>
      </c>
      <c r="G47" s="34" t="n">
        <f aca="false">IF(OR(NET_NAME="NA",F:F="NA"),"NA",PACKAGE_LENGTH+F:F)</f>
        <v>34.425</v>
      </c>
      <c r="H47" s="34" t="n">
        <f aca="false">IF(OR(NET_NAME="NA",F:F="NA"),"NA",G:G-AVERAGEA(DQS0_A_LENGTHS))</f>
        <v>-0.791000000000004</v>
      </c>
      <c r="I47" s="28"/>
    </row>
    <row r="48" customFormat="false" ht="17.7" hidden="false" customHeight="false" outlineLevel="0" collapsed="false">
      <c r="A48" s="65"/>
      <c r="B48" s="67" t="s">
        <v>100</v>
      </c>
      <c r="C48" s="31" t="s">
        <v>101</v>
      </c>
      <c r="D48" s="32" t="n">
        <v>4.964</v>
      </c>
      <c r="E48" s="19"/>
      <c r="F48" s="33" t="n">
        <v>30.542</v>
      </c>
      <c r="G48" s="34" t="n">
        <f aca="false">IF(OR(NET_NAME="NA",F:F="NA"),"NA",PACKAGE_LENGTH+F:F)</f>
        <v>35.506</v>
      </c>
      <c r="H48" s="69"/>
      <c r="I48" s="47" t="n">
        <f aca="false">IF(OR(NET_NAME="NA",F:F="NA"),"NA",AVERAGEA(DQS0_A_LENGTHS)-AVERAGEA(CLOCK_A_LENGHTS))</f>
        <v>8.7945</v>
      </c>
    </row>
    <row r="49" customFormat="false" ht="17.7" hidden="false" customHeight="false" outlineLevel="0" collapsed="false">
      <c r="A49" s="65"/>
      <c r="B49" s="70" t="s">
        <v>102</v>
      </c>
      <c r="C49" s="62" t="s">
        <v>103</v>
      </c>
      <c r="D49" s="44" t="n">
        <v>5.05</v>
      </c>
      <c r="E49" s="19"/>
      <c r="F49" s="45" t="n">
        <v>29.876</v>
      </c>
      <c r="G49" s="46" t="n">
        <f aca="false">IF(OR(NET_NAME="NA",F:F="NA"),"NA",PACKAGE_LENGTH+F:F)</f>
        <v>34.926</v>
      </c>
      <c r="H49" s="69"/>
      <c r="I49" s="47"/>
    </row>
    <row r="50" customFormat="false" ht="15" hidden="false" customHeight="true" outlineLevel="0" collapsed="false">
      <c r="A50" s="65" t="s">
        <v>104</v>
      </c>
      <c r="B50" s="66" t="s">
        <v>105</v>
      </c>
      <c r="C50" s="38" t="s">
        <v>106</v>
      </c>
      <c r="D50" s="24" t="n">
        <v>5.649</v>
      </c>
      <c r="E50" s="19"/>
      <c r="F50" s="25" t="n">
        <v>20.407</v>
      </c>
      <c r="G50" s="26" t="n">
        <f aca="false">IF(OR(NET_NAME="NA",F:F="NA"),"NA",PACKAGE_LENGTH+F:F)</f>
        <v>26.056</v>
      </c>
      <c r="H50" s="26" t="n">
        <f aca="false">IF(OR(NET_NAME="NA",F:F="NA"),"NA",G:G-AVERAGEA(DQS1_A_LENGTHS))</f>
        <v>-1.341</v>
      </c>
      <c r="I50" s="28"/>
    </row>
    <row r="51" customFormat="false" ht="17.7" hidden="false" customHeight="false" outlineLevel="0" collapsed="false">
      <c r="A51" s="65"/>
      <c r="B51" s="67" t="s">
        <v>107</v>
      </c>
      <c r="C51" s="68" t="s">
        <v>108</v>
      </c>
      <c r="D51" s="32" t="n">
        <v>4.817</v>
      </c>
      <c r="E51" s="19"/>
      <c r="F51" s="33" t="n">
        <v>21.197</v>
      </c>
      <c r="G51" s="34" t="n">
        <f aca="false">IF(OR(NET_NAME="NA",F:F="NA"),"NA",PACKAGE_LENGTH+F:F)</f>
        <v>26.014</v>
      </c>
      <c r="H51" s="34" t="n">
        <f aca="false">IF(OR(NET_NAME="NA",F:F="NA"),"NA",G:G-AVERAGEA(DQS1_A_LENGTHS))</f>
        <v>-1.383</v>
      </c>
      <c r="I51" s="28"/>
    </row>
    <row r="52" customFormat="false" ht="17.7" hidden="false" customHeight="false" outlineLevel="0" collapsed="false">
      <c r="A52" s="65"/>
      <c r="B52" s="67" t="s">
        <v>109</v>
      </c>
      <c r="C52" s="68" t="s">
        <v>110</v>
      </c>
      <c r="D52" s="32" t="n">
        <v>5.73</v>
      </c>
      <c r="E52" s="19"/>
      <c r="F52" s="33" t="n">
        <v>20.417</v>
      </c>
      <c r="G52" s="34" t="n">
        <f aca="false">IF(OR(NET_NAME="NA",F:F="NA"),"NA",PACKAGE_LENGTH+F:F)</f>
        <v>26.147</v>
      </c>
      <c r="H52" s="34" t="n">
        <f aca="false">IF(OR(NET_NAME="NA",F:F="NA"),"NA",G:G-AVERAGEA(DQS1_A_LENGTHS))</f>
        <v>-1.25</v>
      </c>
      <c r="I52" s="28"/>
    </row>
    <row r="53" customFormat="false" ht="17.7" hidden="false" customHeight="false" outlineLevel="0" collapsed="false">
      <c r="A53" s="65"/>
      <c r="B53" s="67" t="s">
        <v>111</v>
      </c>
      <c r="C53" s="68" t="s">
        <v>112</v>
      </c>
      <c r="D53" s="32" t="n">
        <v>5.346</v>
      </c>
      <c r="E53" s="19"/>
      <c r="F53" s="33" t="n">
        <v>20.751</v>
      </c>
      <c r="G53" s="34" t="n">
        <f aca="false">IF(OR(NET_NAME="NA",F:F="NA"),"NA",PACKAGE_LENGTH+F:F)</f>
        <v>26.097</v>
      </c>
      <c r="H53" s="34" t="n">
        <f aca="false">IF(OR(NET_NAME="NA",F:F="NA"),"NA",G:G-AVERAGEA(DQS1_A_LENGTHS))</f>
        <v>-1.3</v>
      </c>
      <c r="I53" s="28"/>
    </row>
    <row r="54" customFormat="false" ht="17.7" hidden="false" customHeight="false" outlineLevel="0" collapsed="false">
      <c r="A54" s="65"/>
      <c r="B54" s="67" t="s">
        <v>113</v>
      </c>
      <c r="C54" s="68" t="s">
        <v>114</v>
      </c>
      <c r="D54" s="32" t="n">
        <v>4.796</v>
      </c>
      <c r="E54" s="19"/>
      <c r="F54" s="33" t="n">
        <v>24.013</v>
      </c>
      <c r="G54" s="34" t="n">
        <f aca="false">IF(OR(NET_NAME="NA",F:F="NA"),"NA",PACKAGE_LENGTH+F:F)</f>
        <v>28.809</v>
      </c>
      <c r="H54" s="34" t="n">
        <f aca="false">IF(OR(NET_NAME="NA",F:F="NA"),"NA",G:G-AVERAGEA(DQS1_A_LENGTHS))</f>
        <v>1.412</v>
      </c>
      <c r="I54" s="28"/>
    </row>
    <row r="55" customFormat="false" ht="17.7" hidden="false" customHeight="false" outlineLevel="0" collapsed="false">
      <c r="A55" s="65"/>
      <c r="B55" s="67" t="s">
        <v>115</v>
      </c>
      <c r="C55" s="68" t="s">
        <v>116</v>
      </c>
      <c r="D55" s="32" t="n">
        <v>5.085</v>
      </c>
      <c r="E55" s="19"/>
      <c r="F55" s="33" t="n">
        <v>23.666</v>
      </c>
      <c r="G55" s="34" t="n">
        <f aca="false">IF(OR(NET_NAME="NA",F:F="NA"),"NA",PACKAGE_LENGTH+F:F)</f>
        <v>28.751</v>
      </c>
      <c r="H55" s="34" t="n">
        <f aca="false">IF(OR(NET_NAME="NA",F:F="NA"),"NA",G:G-AVERAGEA(DQS1_A_LENGTHS))</f>
        <v>1.354</v>
      </c>
      <c r="I55" s="28"/>
    </row>
    <row r="56" customFormat="false" ht="17.7" hidden="false" customHeight="false" outlineLevel="0" collapsed="false">
      <c r="A56" s="65"/>
      <c r="B56" s="67" t="s">
        <v>117</v>
      </c>
      <c r="C56" s="68" t="s">
        <v>118</v>
      </c>
      <c r="D56" s="32" t="n">
        <v>4.416</v>
      </c>
      <c r="E56" s="19"/>
      <c r="F56" s="33" t="n">
        <v>21.663</v>
      </c>
      <c r="G56" s="34" t="n">
        <f aca="false">IF(OR(NET_NAME="NA",F:F="NA"),"NA",PACKAGE_LENGTH+F:F)</f>
        <v>26.079</v>
      </c>
      <c r="H56" s="34" t="n">
        <f aca="false">IF(OR(NET_NAME="NA",F:F="NA"),"NA",G:G-AVERAGEA(DQS1_A_LENGTHS))</f>
        <v>-1.318</v>
      </c>
      <c r="I56" s="28"/>
    </row>
    <row r="57" customFormat="false" ht="17.7" hidden="false" customHeight="false" outlineLevel="0" collapsed="false">
      <c r="A57" s="65"/>
      <c r="B57" s="67" t="s">
        <v>119</v>
      </c>
      <c r="C57" s="68" t="s">
        <v>120</v>
      </c>
      <c r="D57" s="32" t="n">
        <v>5.227</v>
      </c>
      <c r="E57" s="19"/>
      <c r="F57" s="33" t="n">
        <v>20.833</v>
      </c>
      <c r="G57" s="34" t="n">
        <f aca="false">IF(OR(NET_NAME="NA",F:F="NA"),"NA",PACKAGE_LENGTH+F:F)</f>
        <v>26.06</v>
      </c>
      <c r="H57" s="34" t="n">
        <f aca="false">IF(OR(NET_NAME="NA",F:F="NA"),"NA",G:G-AVERAGEA(DQS1_A_LENGTHS))</f>
        <v>-1.337</v>
      </c>
      <c r="I57" s="28"/>
    </row>
    <row r="58" customFormat="false" ht="17.7" hidden="false" customHeight="false" outlineLevel="0" collapsed="false">
      <c r="A58" s="65"/>
      <c r="B58" s="67" t="s">
        <v>121</v>
      </c>
      <c r="C58" s="31" t="s">
        <v>122</v>
      </c>
      <c r="D58" s="32" t="n">
        <v>5.205</v>
      </c>
      <c r="E58" s="19"/>
      <c r="F58" s="33" t="n">
        <v>20.845</v>
      </c>
      <c r="G58" s="34" t="n">
        <f aca="false">IF(OR(NET_NAME="NA",F:F="NA"),"NA",PACKAGE_LENGTH+F:F)</f>
        <v>26.05</v>
      </c>
      <c r="H58" s="34" t="n">
        <f aca="false">IF(OR(NET_NAME="NA",F:F="NA"),"NA",G:G-AVERAGEA(DQS1_A_LENGTHS))</f>
        <v>-1.347</v>
      </c>
      <c r="I58" s="28"/>
    </row>
    <row r="59" customFormat="false" ht="17.7" hidden="false" customHeight="false" outlineLevel="0" collapsed="false">
      <c r="A59" s="65"/>
      <c r="B59" s="67" t="s">
        <v>123</v>
      </c>
      <c r="C59" s="31" t="s">
        <v>124</v>
      </c>
      <c r="D59" s="32" t="n">
        <v>6.717</v>
      </c>
      <c r="E59" s="19"/>
      <c r="F59" s="33" t="n">
        <v>20.792</v>
      </c>
      <c r="G59" s="34" t="n">
        <f aca="false">IF(OR(NET_NAME="NA",F:F="NA"),"NA",PACKAGE_LENGTH+F:F)</f>
        <v>27.509</v>
      </c>
      <c r="H59" s="69"/>
      <c r="I59" s="47" t="n">
        <f aca="false">IF(OR(NET_NAME="NA",F:F="NA"),"NA",AVERAGEA(DQS1_A_LENGTHS)-AVERAGEA(CLOCK_A_LENGHTS))</f>
        <v>0.975499999999997</v>
      </c>
    </row>
    <row r="60" customFormat="false" ht="17.7" hidden="false" customHeight="false" outlineLevel="0" collapsed="false">
      <c r="A60" s="65"/>
      <c r="B60" s="70" t="s">
        <v>125</v>
      </c>
      <c r="C60" s="62" t="s">
        <v>126</v>
      </c>
      <c r="D60" s="44" t="n">
        <v>6.888</v>
      </c>
      <c r="E60" s="19"/>
      <c r="F60" s="45" t="n">
        <v>20.397</v>
      </c>
      <c r="G60" s="46" t="n">
        <f aca="false">IF(OR(NET_NAME="NA",F:F="NA"),"NA",PACKAGE_LENGTH+F:F)</f>
        <v>27.285</v>
      </c>
      <c r="H60" s="69"/>
      <c r="I60" s="47"/>
    </row>
    <row r="61" customFormat="false" ht="15" hidden="false" customHeight="true" outlineLevel="0" collapsed="false">
      <c r="A61" s="71" t="s">
        <v>127</v>
      </c>
      <c r="B61" s="66" t="s">
        <v>128</v>
      </c>
      <c r="C61" s="38" t="s">
        <v>129</v>
      </c>
      <c r="D61" s="24" t="n">
        <v>4.573</v>
      </c>
      <c r="E61" s="19"/>
      <c r="F61" s="25" t="n">
        <v>27.842</v>
      </c>
      <c r="G61" s="26" t="n">
        <f aca="false">IF(OR(NET_NAME="NA",F:F="NA"),"NA",PACKAGE_LENGTH+F:F)</f>
        <v>32.415</v>
      </c>
      <c r="H61" s="26" t="n">
        <f aca="false">IF(OR(NET_NAME="NA",F:F="NA"),"NA",G:G-AVERAGEA(DQS0_B_LENGTHS))</f>
        <v>-1.3455</v>
      </c>
      <c r="I61" s="28"/>
    </row>
    <row r="62" customFormat="false" ht="17.7" hidden="false" customHeight="false" outlineLevel="0" collapsed="false">
      <c r="A62" s="71"/>
      <c r="B62" s="67" t="s">
        <v>130</v>
      </c>
      <c r="C62" s="68" t="s">
        <v>131</v>
      </c>
      <c r="D62" s="32" t="n">
        <v>5.346</v>
      </c>
      <c r="E62" s="19"/>
      <c r="F62" s="33" t="n">
        <v>27.07</v>
      </c>
      <c r="G62" s="34" t="n">
        <f aca="false">IF(OR(NET_NAME="NA",F:F="NA"),"NA",PACKAGE_LENGTH+F:F)</f>
        <v>32.416</v>
      </c>
      <c r="H62" s="34" t="n">
        <f aca="false">IF(OR(NET_NAME="NA",F:F="NA"),"NA",G:G-AVERAGEA(DQS0_B_LENGTHS))</f>
        <v>-1.3445</v>
      </c>
      <c r="I62" s="28"/>
    </row>
    <row r="63" customFormat="false" ht="17.7" hidden="false" customHeight="false" outlineLevel="0" collapsed="false">
      <c r="A63" s="71"/>
      <c r="B63" s="67" t="s">
        <v>132</v>
      </c>
      <c r="C63" s="68" t="s">
        <v>133</v>
      </c>
      <c r="D63" s="32" t="n">
        <v>5.006</v>
      </c>
      <c r="E63" s="19"/>
      <c r="F63" s="33" t="n">
        <v>28.945</v>
      </c>
      <c r="G63" s="34" t="n">
        <f aca="false">IF(OR(NET_NAME="NA",F:F="NA"),"NA",PACKAGE_LENGTH+F:F)</f>
        <v>33.951</v>
      </c>
      <c r="H63" s="34" t="n">
        <f aca="false">IF(OR(NET_NAME="NA",F:F="NA"),"NA",G:G-AVERAGEA(DQS0_B_LENGTHS))</f>
        <v>0.1905</v>
      </c>
      <c r="I63" s="28"/>
    </row>
    <row r="64" customFormat="false" ht="17.7" hidden="false" customHeight="false" outlineLevel="0" collapsed="false">
      <c r="A64" s="71"/>
      <c r="B64" s="67" t="s">
        <v>134</v>
      </c>
      <c r="C64" s="68" t="s">
        <v>135</v>
      </c>
      <c r="D64" s="32" t="n">
        <v>5.347</v>
      </c>
      <c r="E64" s="19"/>
      <c r="F64" s="33" t="n">
        <v>29.815</v>
      </c>
      <c r="G64" s="34" t="n">
        <f aca="false">IF(OR(NET_NAME="NA",F:F="NA"),"NA",PACKAGE_LENGTH+F:F)</f>
        <v>35.162</v>
      </c>
      <c r="H64" s="34" t="n">
        <f aca="false">IF(OR(NET_NAME="NA",F:F="NA"),"NA",G:G-AVERAGEA(DQS0_B_LENGTHS))</f>
        <v>1.4015</v>
      </c>
      <c r="I64" s="28"/>
    </row>
    <row r="65" customFormat="false" ht="17.7" hidden="false" customHeight="false" outlineLevel="0" collapsed="false">
      <c r="A65" s="71"/>
      <c r="B65" s="67" t="s">
        <v>136</v>
      </c>
      <c r="C65" s="68" t="s">
        <v>137</v>
      </c>
      <c r="D65" s="32" t="n">
        <v>4.287</v>
      </c>
      <c r="E65" s="19"/>
      <c r="F65" s="33" t="n">
        <v>28.161</v>
      </c>
      <c r="G65" s="34" t="n">
        <f aca="false">IF(OR(NET_NAME="NA",F:F="NA"),"NA",PACKAGE_LENGTH+F:F)</f>
        <v>32.448</v>
      </c>
      <c r="H65" s="34" t="n">
        <f aca="false">IF(OR(NET_NAME="NA",F:F="NA"),"NA",G:G-AVERAGEA(DQS0_B_LENGTHS))</f>
        <v>-1.3125</v>
      </c>
      <c r="I65" s="28"/>
    </row>
    <row r="66" customFormat="false" ht="17.7" hidden="false" customHeight="false" outlineLevel="0" collapsed="false">
      <c r="A66" s="71"/>
      <c r="B66" s="67" t="s">
        <v>138</v>
      </c>
      <c r="C66" s="68" t="s">
        <v>139</v>
      </c>
      <c r="D66" s="32" t="n">
        <v>4.652</v>
      </c>
      <c r="E66" s="19"/>
      <c r="F66" s="33" t="n">
        <v>27.722</v>
      </c>
      <c r="G66" s="34" t="n">
        <f aca="false">IF(OR(NET_NAME="NA",F:F="NA"),"NA",PACKAGE_LENGTH+F:F)</f>
        <v>32.374</v>
      </c>
      <c r="H66" s="34" t="n">
        <f aca="false">IF(OR(NET_NAME="NA",F:F="NA"),"NA",G:G-AVERAGEA(DQS0_B_LENGTHS))</f>
        <v>-1.3865</v>
      </c>
      <c r="I66" s="28"/>
    </row>
    <row r="67" customFormat="false" ht="17.7" hidden="false" customHeight="false" outlineLevel="0" collapsed="false">
      <c r="A67" s="71"/>
      <c r="B67" s="67" t="s">
        <v>140</v>
      </c>
      <c r="C67" s="68" t="s">
        <v>141</v>
      </c>
      <c r="D67" s="32" t="n">
        <v>6.489</v>
      </c>
      <c r="E67" s="19"/>
      <c r="F67" s="33" t="n">
        <v>25.921</v>
      </c>
      <c r="G67" s="34" t="n">
        <f aca="false">IF(OR(NET_NAME="NA",F:F="NA"),"NA",PACKAGE_LENGTH+F:F)</f>
        <v>32.41</v>
      </c>
      <c r="H67" s="34" t="n">
        <f aca="false">IF(OR(NET_NAME="NA",F:F="NA"),"NA",G:G-AVERAGEA(DQS0_B_LENGTHS))</f>
        <v>-1.3505</v>
      </c>
      <c r="I67" s="28"/>
    </row>
    <row r="68" customFormat="false" ht="17.7" hidden="false" customHeight="false" outlineLevel="0" collapsed="false">
      <c r="A68" s="71"/>
      <c r="B68" s="67" t="s">
        <v>142</v>
      </c>
      <c r="C68" s="68" t="s">
        <v>143</v>
      </c>
      <c r="D68" s="32" t="n">
        <v>4.242</v>
      </c>
      <c r="E68" s="19"/>
      <c r="F68" s="33" t="n">
        <v>28.287</v>
      </c>
      <c r="G68" s="34" t="n">
        <f aca="false">IF(OR(NET_NAME="NA",F:F="NA"),"NA",PACKAGE_LENGTH+F:F)</f>
        <v>32.529</v>
      </c>
      <c r="H68" s="34" t="n">
        <f aca="false">IF(OR(NET_NAME="NA",F:F="NA"),"NA",G:G-AVERAGEA(DQS0_B_LENGTHS))</f>
        <v>-1.2315</v>
      </c>
      <c r="I68" s="28"/>
    </row>
    <row r="69" customFormat="false" ht="17.7" hidden="false" customHeight="false" outlineLevel="0" collapsed="false">
      <c r="A69" s="71"/>
      <c r="B69" s="67" t="s">
        <v>144</v>
      </c>
      <c r="C69" s="31" t="s">
        <v>145</v>
      </c>
      <c r="D69" s="32" t="n">
        <v>6.757</v>
      </c>
      <c r="E69" s="19"/>
      <c r="F69" s="33" t="n">
        <v>25.741</v>
      </c>
      <c r="G69" s="34" t="n">
        <f aca="false">IF(OR(NET_NAME="NA",F:F="NA"),"NA",PACKAGE_LENGTH+F:F)</f>
        <v>32.498</v>
      </c>
      <c r="H69" s="34" t="n">
        <f aca="false">IF(OR(NET_NAME="NA",F:F="NA"),"NA",G:G-AVERAGEA(DQS0_B_LENGTHS))</f>
        <v>-1.2625</v>
      </c>
      <c r="I69" s="28"/>
    </row>
    <row r="70" customFormat="false" ht="17.7" hidden="false" customHeight="false" outlineLevel="0" collapsed="false">
      <c r="A70" s="71"/>
      <c r="B70" s="67" t="s">
        <v>146</v>
      </c>
      <c r="C70" s="31" t="s">
        <v>147</v>
      </c>
      <c r="D70" s="32" t="n">
        <v>5.199</v>
      </c>
      <c r="E70" s="19"/>
      <c r="F70" s="33" t="n">
        <v>29.304</v>
      </c>
      <c r="G70" s="34" t="n">
        <f aca="false">IF(OR(NET_NAME="NA",F:F="NA"),"NA",PACKAGE_LENGTH+F:F)</f>
        <v>34.503</v>
      </c>
      <c r="H70" s="72"/>
      <c r="I70" s="47" t="n">
        <f aca="false">IF(OR(NET_NAME="NA",F:F="NA"),"NA",AVERAGEA(DQS0_B_LENGTHS)-AVERAGEA(CLOCK_B_LENGHTS))</f>
        <v>9.0185</v>
      </c>
    </row>
    <row r="71" customFormat="false" ht="17.7" hidden="false" customHeight="false" outlineLevel="0" collapsed="false">
      <c r="A71" s="71"/>
      <c r="B71" s="73" t="s">
        <v>148</v>
      </c>
      <c r="C71" s="74" t="s">
        <v>149</v>
      </c>
      <c r="D71" s="56" t="n">
        <v>5.489</v>
      </c>
      <c r="E71" s="19"/>
      <c r="F71" s="45" t="n">
        <v>27.529</v>
      </c>
      <c r="G71" s="58" t="n">
        <f aca="false">IF(OR(NET_NAME="NA",F:F="NA"),"NA",PACKAGE_LENGTH+F:F)</f>
        <v>33.018</v>
      </c>
      <c r="H71" s="72"/>
      <c r="I71" s="47"/>
    </row>
    <row r="72" customFormat="false" ht="15" hidden="false" customHeight="true" outlineLevel="0" collapsed="false">
      <c r="A72" s="65" t="s">
        <v>150</v>
      </c>
      <c r="B72" s="66" t="s">
        <v>151</v>
      </c>
      <c r="C72" s="38" t="s">
        <v>152</v>
      </c>
      <c r="D72" s="24" t="n">
        <v>4.171</v>
      </c>
      <c r="E72" s="19"/>
      <c r="F72" s="25" t="n">
        <v>23.889</v>
      </c>
      <c r="G72" s="26" t="n">
        <f aca="false">IF(OR(NET_NAME="NA",F:F="NA"),"NA",PACKAGE_LENGTH+F:F)</f>
        <v>28.06</v>
      </c>
      <c r="H72" s="26" t="n">
        <f aca="false">IF(OR(NET_NAME="NA",F:F="NA"),"NA",G:G-AVERAGEA(DQS1_B_LENGTHS))</f>
        <v>-1.365</v>
      </c>
      <c r="I72" s="28"/>
    </row>
    <row r="73" customFormat="false" ht="17.7" hidden="false" customHeight="false" outlineLevel="0" collapsed="false">
      <c r="A73" s="65"/>
      <c r="B73" s="67" t="s">
        <v>153</v>
      </c>
      <c r="C73" s="68" t="s">
        <v>154</v>
      </c>
      <c r="D73" s="32" t="n">
        <v>4.186</v>
      </c>
      <c r="E73" s="19"/>
      <c r="F73" s="33" t="n">
        <v>23.886</v>
      </c>
      <c r="G73" s="34" t="n">
        <f aca="false">IF(OR(NET_NAME="NA",F:F="NA"),"NA",PACKAGE_LENGTH+F:F)</f>
        <v>28.072</v>
      </c>
      <c r="H73" s="34" t="n">
        <f aca="false">IF(OR(NET_NAME="NA",F:F="NA"),"NA",G:G-AVERAGEA(DQS1_B_LENGTHS))</f>
        <v>-1.353</v>
      </c>
      <c r="I73" s="28"/>
    </row>
    <row r="74" customFormat="false" ht="17.7" hidden="false" customHeight="false" outlineLevel="0" collapsed="false">
      <c r="A74" s="65"/>
      <c r="B74" s="67" t="s">
        <v>155</v>
      </c>
      <c r="C74" s="68" t="s">
        <v>156</v>
      </c>
      <c r="D74" s="32" t="n">
        <v>4.313</v>
      </c>
      <c r="E74" s="19"/>
      <c r="F74" s="33" t="n">
        <v>23.773</v>
      </c>
      <c r="G74" s="34" t="n">
        <f aca="false">IF(OR(NET_NAME="NA",F:F="NA"),"NA",PACKAGE_LENGTH+F:F)</f>
        <v>28.086</v>
      </c>
      <c r="H74" s="34" t="n">
        <f aca="false">IF(OR(NET_NAME="NA",F:F="NA"),"NA",G:G-AVERAGEA(DQS1_B_LENGTHS))</f>
        <v>-1.339</v>
      </c>
      <c r="I74" s="28"/>
    </row>
    <row r="75" customFormat="false" ht="17.7" hidden="false" customHeight="false" outlineLevel="0" collapsed="false">
      <c r="A75" s="65"/>
      <c r="B75" s="67" t="s">
        <v>157</v>
      </c>
      <c r="C75" s="68" t="s">
        <v>158</v>
      </c>
      <c r="D75" s="32" t="n">
        <v>5.091</v>
      </c>
      <c r="E75" s="19"/>
      <c r="F75" s="33" t="n">
        <v>23.068</v>
      </c>
      <c r="G75" s="34" t="n">
        <f aca="false">IF(OR(NET_NAME="NA",F:F="NA"),"NA",PACKAGE_LENGTH+F:F)</f>
        <v>28.159</v>
      </c>
      <c r="H75" s="34" t="n">
        <f aca="false">IF(OR(NET_NAME="NA",F:F="NA"),"NA",G:G-AVERAGEA(DQS1_B_LENGTHS))</f>
        <v>-1.26599999999999</v>
      </c>
      <c r="I75" s="28"/>
    </row>
    <row r="76" customFormat="false" ht="17.7" hidden="false" customHeight="false" outlineLevel="0" collapsed="false">
      <c r="A76" s="65"/>
      <c r="B76" s="67" t="s">
        <v>159</v>
      </c>
      <c r="C76" s="68" t="s">
        <v>160</v>
      </c>
      <c r="D76" s="32" t="n">
        <v>3.552</v>
      </c>
      <c r="E76" s="19"/>
      <c r="F76" s="33" t="n">
        <v>24.674</v>
      </c>
      <c r="G76" s="34" t="n">
        <f aca="false">IF(OR(NET_NAME="NA",F:F="NA"),"NA",PACKAGE_LENGTH+F:F)</f>
        <v>28.226</v>
      </c>
      <c r="H76" s="34" t="n">
        <f aca="false">IF(OR(NET_NAME="NA",F:F="NA"),"NA",G:G-AVERAGEA(DQS1_B_LENGTHS))</f>
        <v>-1.199</v>
      </c>
      <c r="I76" s="28"/>
    </row>
    <row r="77" customFormat="false" ht="17.7" hidden="false" customHeight="false" outlineLevel="0" collapsed="false">
      <c r="A77" s="65"/>
      <c r="B77" s="67" t="s">
        <v>161</v>
      </c>
      <c r="C77" s="68" t="s">
        <v>162</v>
      </c>
      <c r="D77" s="32" t="n">
        <v>5.47</v>
      </c>
      <c r="E77" s="19"/>
      <c r="F77" s="33" t="n">
        <v>23.168</v>
      </c>
      <c r="G77" s="34" t="n">
        <f aca="false">IF(OR(NET_NAME="NA",F:F="NA"),"NA",PACKAGE_LENGTH+F:F)</f>
        <v>28.638</v>
      </c>
      <c r="H77" s="34" t="n">
        <f aca="false">IF(OR(NET_NAME="NA",F:F="NA"),"NA",G:G-AVERAGEA(DQS1_B_LENGTHS))</f>
        <v>-0.786999999999999</v>
      </c>
      <c r="I77" s="28"/>
    </row>
    <row r="78" customFormat="false" ht="17.7" hidden="false" customHeight="false" outlineLevel="0" collapsed="false">
      <c r="A78" s="65"/>
      <c r="B78" s="67" t="s">
        <v>163</v>
      </c>
      <c r="C78" s="68" t="s">
        <v>164</v>
      </c>
      <c r="D78" s="32" t="n">
        <v>4.969</v>
      </c>
      <c r="E78" s="19"/>
      <c r="F78" s="33" t="n">
        <v>23.967</v>
      </c>
      <c r="G78" s="34" t="n">
        <f aca="false">IF(OR(NET_NAME="NA",F:F="NA"),"NA",PACKAGE_LENGTH+F:F)</f>
        <v>28.936</v>
      </c>
      <c r="H78" s="34" t="n">
        <f aca="false">IF(OR(NET_NAME="NA",F:F="NA"),"NA",G:G-AVERAGEA(DQS1_B_LENGTHS))</f>
        <v>-0.488999999999997</v>
      </c>
      <c r="I78" s="28"/>
    </row>
    <row r="79" customFormat="false" ht="17.7" hidden="false" customHeight="false" outlineLevel="0" collapsed="false">
      <c r="A79" s="65"/>
      <c r="B79" s="67" t="s">
        <v>165</v>
      </c>
      <c r="C79" s="68" t="s">
        <v>166</v>
      </c>
      <c r="D79" s="32" t="n">
        <v>5.165</v>
      </c>
      <c r="E79" s="19"/>
      <c r="F79" s="33" t="n">
        <v>25.672</v>
      </c>
      <c r="G79" s="34" t="n">
        <f aca="false">IF(OR(NET_NAME="NA",F:F="NA"),"NA",PACKAGE_LENGTH+F:F)</f>
        <v>30.837</v>
      </c>
      <c r="H79" s="34" t="n">
        <f aca="false">IF(OR(NET_NAME="NA",F:F="NA"),"NA",G:G-AVERAGEA(DQS1_B_LENGTHS))</f>
        <v>1.412</v>
      </c>
      <c r="I79" s="28"/>
    </row>
    <row r="80" customFormat="false" ht="17.7" hidden="false" customHeight="false" outlineLevel="0" collapsed="false">
      <c r="A80" s="65"/>
      <c r="B80" s="67" t="s">
        <v>167</v>
      </c>
      <c r="C80" s="31" t="s">
        <v>168</v>
      </c>
      <c r="D80" s="32" t="n">
        <v>4.841</v>
      </c>
      <c r="E80" s="19"/>
      <c r="F80" s="33" t="n">
        <v>23.721</v>
      </c>
      <c r="G80" s="34" t="n">
        <f aca="false">IF(OR(NET_NAME="NA",F:F="NA"),"NA",PACKAGE_LENGTH+F:F)</f>
        <v>28.562</v>
      </c>
      <c r="H80" s="34" t="n">
        <f aca="false">IF(OR(NET_NAME="NA",F:F="NA"),"NA",G:G-AVERAGEA(DQS1_B_LENGTHS))</f>
        <v>-0.862999999999996</v>
      </c>
      <c r="I80" s="28"/>
    </row>
    <row r="81" customFormat="false" ht="17.7" hidden="false" customHeight="false" outlineLevel="0" collapsed="false">
      <c r="A81" s="65"/>
      <c r="B81" s="67" t="s">
        <v>169</v>
      </c>
      <c r="C81" s="31" t="s">
        <v>170</v>
      </c>
      <c r="D81" s="32" t="n">
        <v>4.976</v>
      </c>
      <c r="E81" s="19"/>
      <c r="F81" s="33" t="n">
        <v>24.15</v>
      </c>
      <c r="G81" s="34" t="n">
        <f aca="false">IF(OR(NET_NAME="NA",F:F="NA"),"NA",PACKAGE_LENGTH+F:F)</f>
        <v>29.126</v>
      </c>
      <c r="H81" s="69"/>
      <c r="I81" s="47" t="n">
        <f aca="false">IF(OR(NET_NAME="NA",F:F="NA"),"NA",AVERAGEA(DQS1_B_LENGTHS)-AVERAGEA(CLOCK_B_LENGHTS))</f>
        <v>4.683</v>
      </c>
    </row>
    <row r="82" customFormat="false" ht="17.7" hidden="false" customHeight="false" outlineLevel="0" collapsed="false">
      <c r="A82" s="65"/>
      <c r="B82" s="70" t="s">
        <v>171</v>
      </c>
      <c r="C82" s="62" t="s">
        <v>172</v>
      </c>
      <c r="D82" s="44" t="n">
        <v>4.631</v>
      </c>
      <c r="E82" s="19"/>
      <c r="F82" s="45" t="n">
        <v>25.093</v>
      </c>
      <c r="G82" s="46" t="n">
        <f aca="false">IF(OR(NET_NAME="NA",F:F="NA"),"NA",PACKAGE_LENGTH+F:F)</f>
        <v>29.724</v>
      </c>
      <c r="H82" s="69"/>
      <c r="I82" s="47"/>
    </row>
    <row r="85" customFormat="false" ht="17.7" hidden="false" customHeight="false" outlineLevel="0" collapsed="false">
      <c r="F85" s="75"/>
    </row>
  </sheetData>
  <sheetProtection sheet="true" objects="true" scenarios="true"/>
  <mergeCells count="26">
    <mergeCell ref="A1:I1"/>
    <mergeCell ref="K2:L2"/>
    <mergeCell ref="A3:A33"/>
    <mergeCell ref="I3:I18"/>
    <mergeCell ref="K6:L7"/>
    <mergeCell ref="H7:H8"/>
    <mergeCell ref="K12:L12"/>
    <mergeCell ref="H19:H20"/>
    <mergeCell ref="I19:I20"/>
    <mergeCell ref="I21:I33"/>
    <mergeCell ref="A39:A49"/>
    <mergeCell ref="I39:I47"/>
    <mergeCell ref="H48:H49"/>
    <mergeCell ref="I48:I49"/>
    <mergeCell ref="A50:A60"/>
    <mergeCell ref="I50:I58"/>
    <mergeCell ref="H59:H60"/>
    <mergeCell ref="I59:I60"/>
    <mergeCell ref="A61:A71"/>
    <mergeCell ref="I61:I69"/>
    <mergeCell ref="H70:H71"/>
    <mergeCell ref="I70:I71"/>
    <mergeCell ref="A72:A82"/>
    <mergeCell ref="I72:I80"/>
    <mergeCell ref="H81:H82"/>
    <mergeCell ref="I81:I82"/>
  </mergeCells>
  <conditionalFormatting sqref="D39:D82">
    <cfRule type="expression" priority="2" aboveAverage="0" equalAverage="0" bottom="0" percent="0" rank="0" text="" dxfId="0">
      <formula>CELL("protect",D39)=0</formula>
    </cfRule>
    <cfRule type="cellIs" priority="3" operator="equal" aboveAverage="0" equalAverage="0" bottom="0" percent="0" rank="0" text="" dxfId="1">
      <formula>"NA"</formula>
    </cfRule>
    <cfRule type="expression" priority="4" aboveAverage="0" equalAverage="0" bottom="0" percent="0" rank="0" text="" dxfId="2">
      <formula>NOT(ISNUMBER(D39))</formula>
    </cfRule>
  </conditionalFormatting>
  <conditionalFormatting sqref="I19">
    <cfRule type="cellIs" priority="5" operator="between" aboveAverage="0" equalAverage="0" bottom="0" percent="0" rank="0" text="" dxfId="3">
      <formula>-14.5</formula>
      <formula>14.5</formula>
    </cfRule>
    <cfRule type="cellIs" priority="6" operator="notBetween" aboveAverage="0" equalAverage="0" bottom="0" percent="0" rank="0" text="" dxfId="4">
      <formula>-14.5</formula>
      <formula>14.5</formula>
    </cfRule>
  </conditionalFormatting>
  <conditionalFormatting sqref="I19 I2:I3 I21">
    <cfRule type="expression" priority="7" aboveAverage="0" equalAverage="0" bottom="0" percent="0" rank="0" text="" dxfId="5">
      <formula>CELL("protect",I2)=0</formula>
    </cfRule>
    <cfRule type="cellIs" priority="8" operator="equal" aboveAverage="0" equalAverage="0" bottom="0" percent="0" rank="0" text="" dxfId="6">
      <formula>"NA"</formula>
    </cfRule>
    <cfRule type="expression" priority="9" aboveAverage="0" equalAverage="0" bottom="0" percent="0" rank="0" text="" dxfId="2">
      <formula>NOT(ISNUMBER(I2))</formula>
    </cfRule>
  </conditionalFormatting>
  <conditionalFormatting sqref="K12:L12">
    <cfRule type="expression" priority="10" aboveAverage="0" equalAverage="0" bottom="0" percent="0" rank="0" text="" dxfId="7">
      <formula>CELL("protect",K12)=0</formula>
    </cfRule>
    <cfRule type="cellIs" priority="11" operator="equal" aboveAverage="0" equalAverage="0" bottom="0" percent="0" rank="0" text="" dxfId="8">
      <formula>"NA"</formula>
    </cfRule>
    <cfRule type="expression" priority="12" aboveAverage="0" equalAverage="0" bottom="0" percent="0" rank="0" text="" dxfId="2">
      <formula>NOT(ISNUMBER(K12))</formula>
    </cfRule>
  </conditionalFormatting>
  <conditionalFormatting sqref="A1:L1 A34:L38 J12 J13:L33 A2:H33 J2:L11 A83:L1048576 A39:C82 E39:L80 E82:L82 E81 G81:L81">
    <cfRule type="expression" priority="13" aboveAverage="0" equalAverage="0" bottom="0" percent="0" rank="0" text="" dxfId="9">
      <formula>CELL("protect",A1)=0</formula>
    </cfRule>
    <cfRule type="cellIs" priority="14" operator="equal" aboveAverage="0" equalAverage="0" bottom="0" percent="0" rank="0" text="" dxfId="10">
      <formula>"NA"</formula>
    </cfRule>
    <cfRule type="expression" priority="15" aboveAverage="0" equalAverage="0" bottom="0" percent="0" rank="0" text="" dxfId="2">
      <formula>NOT(ISNUMBER(A1))</formula>
    </cfRule>
  </conditionalFormatting>
  <conditionalFormatting sqref="G39:G49">
    <cfRule type="colorScale" priority="16">
      <colorScale>
        <cfvo type="min" val="0"/>
        <cfvo type="percentile" val="50"/>
        <cfvo type="max" val="0"/>
        <color rgb="FF63BE7B"/>
        <color rgb="FFFFEB84"/>
        <color rgb="FFF8696B"/>
      </colorScale>
    </cfRule>
  </conditionalFormatting>
  <conditionalFormatting sqref="G50:G60">
    <cfRule type="colorScale" priority="17">
      <colorScale>
        <cfvo type="min" val="0"/>
        <cfvo type="percentile" val="50"/>
        <cfvo type="max" val="0"/>
        <color rgb="FF63BE7B"/>
        <color rgb="FFFFEB84"/>
        <color rgb="FFF8696B"/>
      </colorScale>
    </cfRule>
  </conditionalFormatting>
  <conditionalFormatting sqref="G61:G71">
    <cfRule type="colorScale" priority="18">
      <colorScale>
        <cfvo type="min" val="0"/>
        <cfvo type="percentile" val="50"/>
        <cfvo type="max" val="0"/>
        <color rgb="FF63BE7B"/>
        <color rgb="FFFFEB84"/>
        <color rgb="FFF8696B"/>
      </colorScale>
    </cfRule>
  </conditionalFormatting>
  <conditionalFormatting sqref="G72:G82">
    <cfRule type="colorScale" priority="19">
      <colorScale>
        <cfvo type="min" val="0"/>
        <cfvo type="percentile" val="50"/>
        <cfvo type="max" val="0"/>
        <color rgb="FF63BE7B"/>
        <color rgb="FFFFEB84"/>
        <color rgb="FFF8696B"/>
      </colorScale>
    </cfRule>
  </conditionalFormatting>
  <conditionalFormatting sqref="H39:H82">
    <cfRule type="cellIs" priority="20" operator="notBetween" aboveAverage="0" equalAverage="0" bottom="0" percent="0" rank="0" text="" dxfId="11">
      <formula>-1.42</formula>
      <formula>1.42</formula>
    </cfRule>
    <cfRule type="cellIs" priority="21" operator="between" aboveAverage="0" equalAverage="0" bottom="0" percent="0" rank="0" text="" dxfId="12">
      <formula>-1.42</formula>
      <formula>1.42</formula>
    </cfRule>
  </conditionalFormatting>
  <conditionalFormatting sqref="I48 I59 I70 I81">
    <cfRule type="cellIs" priority="22" operator="notBetween" aboveAverage="0" equalAverage="0" bottom="0" percent="0" rank="0" text="" dxfId="13">
      <formula>-12.07</formula>
      <formula>12.07</formula>
    </cfRule>
    <cfRule type="cellIs" priority="23" operator="between" aboveAverage="0" equalAverage="0" bottom="0" percent="0" rank="0" text="" dxfId="14">
      <formula>-12.07</formula>
      <formula>12.07</formula>
    </cfRule>
  </conditionalFormatting>
  <conditionalFormatting sqref="G3:G33">
    <cfRule type="colorScale" priority="24">
      <colorScale>
        <cfvo type="min" val="0"/>
        <cfvo type="percentile" val="50"/>
        <cfvo type="max" val="0"/>
        <color rgb="FF63BE7B"/>
        <color rgb="FFFFEB84"/>
        <color rgb="FFF8696B"/>
      </colorScale>
    </cfRule>
  </conditionalFormatting>
  <conditionalFormatting sqref="H3:H33">
    <cfRule type="cellIs" priority="25" operator="between" aboveAverage="0" equalAverage="0" bottom="0" percent="0" rank="0" text="" dxfId="15">
      <formula>-3.55</formula>
      <formula>3.55</formula>
    </cfRule>
    <cfRule type="cellIs" priority="26" operator="notBetween" aboveAverage="0" equalAverage="0" bottom="0" percent="0" rank="0" text="" dxfId="16">
      <formula>-3.55</formula>
      <formula>3.55</formula>
    </cfRule>
  </conditionalFormatting>
  <conditionalFormatting sqref="F81">
    <cfRule type="expression" priority="27" aboveAverage="0" equalAverage="0" bottom="0" percent="0" rank="0" text="" dxfId="9">
      <formula>CELL("protect",F81)=0</formula>
    </cfRule>
    <cfRule type="cellIs" priority="28" operator="equal" aboveAverage="0" equalAverage="0" bottom="0" percent="0" rank="0" text="" dxfId="10">
      <formula>"NA"</formula>
    </cfRule>
    <cfRule type="expression" priority="29" aboveAverage="0" equalAverage="0" bottom="0" percent="0" rank="0" text="" dxfId="2">
      <formula>NOT(ISNUMBER(F81))</formula>
    </cfRule>
  </conditionalFormatting>
  <printOptions headings="false" gridLines="true" gridLinesSet="true" horizontalCentered="true" verticalCentered="true"/>
  <pageMargins left="0.511805555555556" right="0.511805555555556" top="0.551388888888889" bottom="0.551388888888889" header="0.315277777777778" footer="0.315277777777778"/>
  <pageSetup paperSize="8" scale="100" fitToWidth="1" fitToHeight="1" pageOrder="downThenOver" orientation="landscape" blackAndWhite="false" draft="false" cellComments="none" horizontalDpi="300" verticalDpi="300" copies="1"/>
  <headerFooter differentFirst="false" differentOddEven="false">
    <oddHeader>&amp;C&amp;F</oddHeader>
    <oddFooter>&amp;CPage &amp;P de &amp;N&amp;R&amp;1#&amp;"Arial,Normal"&amp;12&amp;Kff0000ST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4" customHeight="true" zeroHeight="false" outlineLevelRow="0" outlineLevelCol="0"/>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&amp;R&amp;1#&amp;"Arial,Normal"&amp;12&amp;Kff0000ST Restricted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4" customHeight="true" zeroHeight="false" outlineLevelRow="0" outlineLevelCol="0"/>
  <sheetData>
    <row r="1" customFormat="false" ht="14.4" hidden="false" customHeight="false" outlineLevel="0" collapsed="false">
      <c r="A1" s="76" t="s">
        <v>173</v>
      </c>
      <c r="B1" s="76" t="s">
        <v>174</v>
      </c>
      <c r="C1" s="76" t="s">
        <v>175</v>
      </c>
      <c r="D1" s="76" t="s">
        <v>176</v>
      </c>
      <c r="E1" s="76" t="s">
        <v>177</v>
      </c>
      <c r="F1" s="76" t="s">
        <v>178</v>
      </c>
      <c r="G1" s="76" t="s">
        <v>179</v>
      </c>
    </row>
    <row r="2" customFormat="false" ht="14.4" hidden="false" customHeight="false" outlineLevel="0" collapsed="false">
      <c r="A2" s="76" t="s">
        <v>180</v>
      </c>
      <c r="B2" s="76" t="s">
        <v>181</v>
      </c>
      <c r="C2" s="76" t="s">
        <v>182</v>
      </c>
      <c r="D2" s="76" t="s">
        <v>183</v>
      </c>
      <c r="E2" s="76" t="s">
        <v>184</v>
      </c>
      <c r="F2" s="76" t="n">
        <v>17</v>
      </c>
      <c r="G2" s="76" t="s">
        <v>185</v>
      </c>
    </row>
    <row r="3" customFormat="false" ht="14.4" hidden="false" customHeight="false" outlineLevel="0" collapsed="false">
      <c r="A3" s="77" t="s">
        <v>186</v>
      </c>
      <c r="B3" s="77" t="s">
        <v>187</v>
      </c>
      <c r="C3" s="77" t="s">
        <v>188</v>
      </c>
      <c r="D3" s="77" t="s">
        <v>189</v>
      </c>
      <c r="E3" s="77" t="s">
        <v>190</v>
      </c>
      <c r="F3" s="76" t="n">
        <v>14</v>
      </c>
      <c r="G3" s="77" t="s">
        <v>191</v>
      </c>
    </row>
    <row r="4" customFormat="false" ht="14.4" hidden="false" customHeight="false" outlineLevel="0" collapsed="false">
      <c r="A4" s="76" t="s">
        <v>192</v>
      </c>
      <c r="B4" s="76" t="s">
        <v>193</v>
      </c>
      <c r="C4" s="76" t="s">
        <v>194</v>
      </c>
      <c r="D4" s="76" t="s">
        <v>195</v>
      </c>
      <c r="E4" s="76" t="s">
        <v>196</v>
      </c>
      <c r="F4" s="76" t="n">
        <v>5</v>
      </c>
      <c r="G4" s="76" t="s">
        <v>197</v>
      </c>
    </row>
    <row r="5" customFormat="false" ht="14.4" hidden="false" customHeight="false" outlineLevel="0" collapsed="false">
      <c r="A5" s="76" t="s">
        <v>192</v>
      </c>
      <c r="B5" s="76" t="s">
        <v>198</v>
      </c>
      <c r="C5" s="76" t="s">
        <v>199</v>
      </c>
      <c r="D5" s="76" t="s">
        <v>200</v>
      </c>
      <c r="E5" s="76" t="s">
        <v>201</v>
      </c>
      <c r="F5" s="76" t="n">
        <v>5</v>
      </c>
      <c r="G5" s="76" t="s">
        <v>202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&amp;R&amp;1#&amp;"Arial,Normal"&amp;12&amp;Kff0000ST Restricted</oddFooter>
  </headerFooter>
</worksheet>
</file>

<file path=docProps/app.xml><?xml version="1.0" encoding="utf-8"?>
<Properties xmlns="http://schemas.openxmlformats.org/officeDocument/2006/extended-properties" xmlns:vt="http://schemas.openxmlformats.org/officeDocument/2006/docPropsVTypes">
  <Template/>
  <TotalTime>10980</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2013-10-18T18:25:14Z</dcterms:created>
  <dc:creator/>
  <dc:description/>
  <dc:language>fr-FR</dc:language>
  <cp:lastModifiedBy/>
  <cp:lastPrinted>2014-01-28T11:06:07Z</cp:lastPrinted>
  <dcterms:modified xsi:type="dcterms:W3CDTF">2025-11-09T17:24:54Z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ActionId">
    <vt:lpwstr>e7de5612-ce81-4978-8f28-6a8a702db77e</vt:lpwstr>
  </property>
  <property fmtid="{D5CDD505-2E9C-101B-9397-08002B2CF9AE}" pid="3" name="MSIP_Label_23add6c0-cfdb-4bb9-b90f-bf23b83aa6c0_ContentBits">
    <vt:lpwstr>2</vt:lpwstr>
  </property>
  <property fmtid="{D5CDD505-2E9C-101B-9397-08002B2CF9AE}" pid="4" name="MSIP_Label_23add6c0-cfdb-4bb9-b90f-bf23b83aa6c0_Enabled">
    <vt:lpwstr>true</vt:lpwstr>
  </property>
  <property fmtid="{D5CDD505-2E9C-101B-9397-08002B2CF9AE}" pid="5" name="MSIP_Label_23add6c0-cfdb-4bb9-b90f-bf23b83aa6c0_Method">
    <vt:lpwstr>Privileged</vt:lpwstr>
  </property>
  <property fmtid="{D5CDD505-2E9C-101B-9397-08002B2CF9AE}" pid="6" name="MSIP_Label_23add6c0-cfdb-4bb9-b90f-bf23b83aa6c0_Name">
    <vt:lpwstr>23add6c0-cfdb-4bb9-b90f-bf23b83aa6c0</vt:lpwstr>
  </property>
  <property fmtid="{D5CDD505-2E9C-101B-9397-08002B2CF9AE}" pid="7" name="MSIP_Label_23add6c0-cfdb-4bb9-b90f-bf23b83aa6c0_SetDate">
    <vt:lpwstr>2023-08-25T13:55:57Z</vt:lpwstr>
  </property>
  <property fmtid="{D5CDD505-2E9C-101B-9397-08002B2CF9AE}" pid="8" name="MSIP_Label_23add6c0-cfdb-4bb9-b90f-bf23b83aa6c0_SiteId">
    <vt:lpwstr>75e027c9-20d5-47d5-b82f-77d7cd041e8f</vt:lpwstr>
  </property>
</Properties>
</file>